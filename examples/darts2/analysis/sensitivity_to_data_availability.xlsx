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ksel.alkarem\DOLPHINN\examples\darts2\analysis\"/>
    </mc:Choice>
  </mc:AlternateContent>
  <xr:revisionPtr revIDLastSave="0" documentId="13_ncr:1_{654FCF92-F957-4DAA-B1EC-B51363784EE9}" xr6:coauthVersionLast="47" xr6:coauthVersionMax="47" xr10:uidLastSave="{00000000-0000-0000-0000-000000000000}"/>
  <bookViews>
    <workbookView xWindow="-15165" yWindow="-32520" windowWidth="57840" windowHeight="31920" activeTab="3" xr2:uid="{A0A1E360-53A8-43B8-865A-6FDA79CC893F}"/>
  </bookViews>
  <sheets>
    <sheet name="experiment" sheetId="1" r:id="rId1"/>
    <sheet name="NWT" sheetId="2" r:id="rId2"/>
    <sheet name="NWT_LSTM_factor" sheetId="3" r:id="rId3"/>
    <sheet name="EXP_TiDE_fct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3" l="1"/>
  <c r="J16" i="3"/>
  <c r="K16" i="3"/>
  <c r="L16" i="3"/>
  <c r="I17" i="3"/>
  <c r="J17" i="3"/>
  <c r="K17" i="3"/>
  <c r="L17" i="3"/>
  <c r="I18" i="3"/>
  <c r="J18" i="3"/>
  <c r="K18" i="3"/>
  <c r="L18" i="3"/>
  <c r="I19" i="3"/>
  <c r="J19" i="3"/>
  <c r="K19" i="3"/>
  <c r="L19" i="3"/>
  <c r="I20" i="3"/>
  <c r="J20" i="3"/>
  <c r="K20" i="3"/>
  <c r="L20" i="3"/>
  <c r="I21" i="3"/>
  <c r="J21" i="3"/>
  <c r="K21" i="3"/>
  <c r="L21" i="3"/>
  <c r="I22" i="3"/>
  <c r="J22" i="3"/>
  <c r="K22" i="3"/>
  <c r="L22" i="3"/>
  <c r="I23" i="3"/>
  <c r="J23" i="3"/>
  <c r="K23" i="3"/>
  <c r="L23" i="3"/>
  <c r="I24" i="3"/>
  <c r="J24" i="3"/>
  <c r="K24" i="3"/>
  <c r="L24" i="3"/>
  <c r="J15" i="3"/>
  <c r="K15" i="3"/>
  <c r="L15" i="3"/>
  <c r="I15" i="3"/>
  <c r="L4" i="2"/>
  <c r="M4" i="2"/>
  <c r="L5" i="2"/>
  <c r="M5" i="2"/>
  <c r="L6" i="2"/>
  <c r="M6" i="2"/>
  <c r="L7" i="2"/>
  <c r="M7" i="2"/>
  <c r="L8" i="2"/>
  <c r="M8" i="2"/>
  <c r="L9" i="2"/>
  <c r="M9" i="2"/>
  <c r="L10" i="2"/>
  <c r="M10" i="2"/>
  <c r="L11" i="2"/>
  <c r="M11" i="2"/>
  <c r="L12" i="2"/>
  <c r="M12" i="2"/>
  <c r="L13" i="2"/>
  <c r="M13" i="2"/>
  <c r="L14" i="2"/>
  <c r="M14" i="2"/>
  <c r="L15" i="2"/>
  <c r="M15" i="2"/>
  <c r="L16" i="2"/>
  <c r="M16" i="2"/>
  <c r="L17" i="2"/>
  <c r="M17" i="2"/>
  <c r="L18" i="2"/>
  <c r="M18" i="2"/>
  <c r="L3" i="2"/>
  <c r="M3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tc={53D3B6E1-8688-4635-A712-04B5E9075599}</author>
  </authors>
  <commentList>
    <comment ref="D9" authorId="0" shapeId="0" xr:uid="{53D3B6E1-8688-4635-A712-04B5E907559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Honestly, the mean is off only
</t>
      </text>
    </comment>
  </commentList>
</comments>
</file>

<file path=xl/sharedStrings.xml><?xml version="1.0" encoding="utf-8"?>
<sst xmlns="http://schemas.openxmlformats.org/spreadsheetml/2006/main" count="163" uniqueCount="61">
  <si>
    <t>masking</t>
  </si>
  <si>
    <t>none</t>
  </si>
  <si>
    <t>A</t>
  </si>
  <si>
    <t>B</t>
  </si>
  <si>
    <t>C</t>
  </si>
  <si>
    <t>model</t>
  </si>
  <si>
    <t>bTiDE</t>
  </si>
  <si>
    <t>t=6</t>
  </si>
  <si>
    <t>t=40</t>
  </si>
  <si>
    <t>bLSTM</t>
  </si>
  <si>
    <t>without demeaning</t>
  </si>
  <si>
    <t>with demeaning</t>
  </si>
  <si>
    <t>t=60, mask A</t>
  </si>
  <si>
    <t>None</t>
  </si>
  <si>
    <t>baseline (t=60s)</t>
  </si>
  <si>
    <t>D</t>
  </si>
  <si>
    <t>AB</t>
  </si>
  <si>
    <t>AC</t>
  </si>
  <si>
    <t>AD</t>
  </si>
  <si>
    <t>BC</t>
  </si>
  <si>
    <t>BD</t>
  </si>
  <si>
    <t>CD</t>
  </si>
  <si>
    <t>ABC</t>
  </si>
  <si>
    <t>ABD</t>
  </si>
  <si>
    <t>ACD</t>
  </si>
  <si>
    <t>BCD</t>
  </si>
  <si>
    <t>ABCD</t>
  </si>
  <si>
    <t>horizon</t>
  </si>
  <si>
    <t>error</t>
  </si>
  <si>
    <t>adaptive conservative</t>
  </si>
  <si>
    <t>adaptive ultra conservative</t>
  </si>
  <si>
    <t>horizon diff</t>
  </si>
  <si>
    <t>error diff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</si>
  <si>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</si>
  <si>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</si>
  <si>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</si>
  <si>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</si>
  <si>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</si>
  <si>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</si>
  <si>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</si>
  <si>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</si>
  <si>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</si>
  <si>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</si>
  <si>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baseline - tau=60s, mask=factor(0.0)</t>
  </si>
  <si>
    <t>tau-t tau=33s, mask=factor(0.0)</t>
  </si>
  <si>
    <t>reg_sub - tau=60s, mask=substitute (zcWindow=100s, ampFactor=1.0)</t>
  </si>
  <si>
    <t>reg_sub - tau=60s, mask=substitute (zcWindow=100s, ampFactor=0.75)</t>
  </si>
  <si>
    <t>reg_sub - tau=60s, mask=substitute (zcWindow=100s, ampFactor=0.50)</t>
  </si>
  <si>
    <t>reg_sub - tau=60s, mask=substitute (zcWindow=100s, ampFactor=0.25)</t>
  </si>
  <si>
    <t>Λ=1.0</t>
  </si>
  <si>
    <t>Λ=0.75</t>
  </si>
  <si>
    <t>Λ=0.5</t>
  </si>
  <si>
    <t>Λ=0.25</t>
  </si>
  <si>
    <t>Λ=0.0</t>
  </si>
  <si>
    <t>Diff.</t>
  </si>
  <si>
    <t>Exp-TiDE</t>
  </si>
  <si>
    <t>SS1</t>
  </si>
  <si>
    <t>rho=0.25</t>
  </si>
  <si>
    <t>delta_t_msk=25</t>
  </si>
  <si>
    <t>taut1</t>
  </si>
  <si>
    <t>taut2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</si>
</sst>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10" fontId="0" fillId="0" borderId="2" xfId="0" applyNumberFormat="1" applyBorder="1"/>
    <xf numFmtId="164" fontId="0" fillId="0" borderId="0" xfId="0" applyNumberFormat="1"/>
    <xf numFmtId="9" fontId="0" fillId="0" borderId="0" xfId="1" applyFont="1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NWT!$D$1</c:f>
              <c:strCache>
                <c:ptCount val="1"/>
                <c:pt idx="0">
                  <c:v>baseline (t=60s)</c:v>
                </c:pt>
              </c:strCache>
            </c:strRef>
          </c:tx>
          <c:spPr>
            <a:solidFill>
              <a:schemeClr val="accent5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NWT!$C$3:$C$18</c:f>
              <c:strCache>
                <c:ptCount val="16"/>
                <c:pt idx="0">
                  <c:v>None</c:v>
                </c:pt>
                <c:pt idx="1">
                  <c:v>A</c:v>
                </c:pt>
                <c:pt idx="2">
                  <c:v>B</c:v>
                </c:pt>
                <c:pt idx="3">
                  <c:v>C</c:v>
                </c:pt>
                <c:pt idx="4">
                  <c:v>D</c:v>
                </c:pt>
                <c:pt idx="5">
                  <c:v>AB</c:v>
                </c:pt>
                <c:pt idx="6">
                  <c:v>AC</c:v>
                </c:pt>
                <c:pt idx="7">
                  <c:v>AD</c:v>
                </c:pt>
                <c:pt idx="8">
                  <c:v>BC</c:v>
                </c:pt>
                <c:pt idx="9">
                  <c:v>BD</c:v>
                </c:pt>
                <c:pt idx="10">
                  <c:v>CD</c:v>
                </c:pt>
                <c:pt idx="11">
                  <c:v>ABC</c:v>
                </c:pt>
                <c:pt idx="12">
                  <c:v>ABD</c:v>
                </c:pt>
                <c:pt idx="13">
                  <c:v>ACD</c:v>
                </c:pt>
                <c:pt idx="14">
                  <c:v>BCD</c:v>
                </c:pt>
                <c:pt idx="15">
                  <c:v>ABCD</c:v>
                </c:pt>
              </c:strCache>
            </c:strRef>
          </c:cat>
          <c:val>
            <c:numRef>
              <c:f>NWT!$D$3:$D$18</c:f>
              <c:numCache>
                <c:formatCode>General</c:formatCode>
                <c:ptCount val="16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11-4B14-8BC4-3A76D49E4B14}"/>
            </c:ext>
          </c:extLst>
        </c:ser>
        <c:ser>
          <c:idx val="1"/>
          <c:order val="1"/>
          <c:tx>
            <c:strRef>
              <c:f>NWT!$F$1</c:f>
              <c:strCache>
                <c:ptCount val="1"/>
                <c:pt idx="0">
                  <c:v>adaptive conservative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NWT!$C$3:$C$18</c:f>
              <c:strCache>
                <c:ptCount val="16"/>
                <c:pt idx="0">
                  <c:v>None</c:v>
                </c:pt>
                <c:pt idx="1">
                  <c:v>A</c:v>
                </c:pt>
                <c:pt idx="2">
                  <c:v>B</c:v>
                </c:pt>
                <c:pt idx="3">
                  <c:v>C</c:v>
                </c:pt>
                <c:pt idx="4">
                  <c:v>D</c:v>
                </c:pt>
                <c:pt idx="5">
                  <c:v>AB</c:v>
                </c:pt>
                <c:pt idx="6">
                  <c:v>AC</c:v>
                </c:pt>
                <c:pt idx="7">
                  <c:v>AD</c:v>
                </c:pt>
                <c:pt idx="8">
                  <c:v>BC</c:v>
                </c:pt>
                <c:pt idx="9">
                  <c:v>BD</c:v>
                </c:pt>
                <c:pt idx="10">
                  <c:v>CD</c:v>
                </c:pt>
                <c:pt idx="11">
                  <c:v>ABC</c:v>
                </c:pt>
                <c:pt idx="12">
                  <c:v>ABD</c:v>
                </c:pt>
                <c:pt idx="13">
                  <c:v>ACD</c:v>
                </c:pt>
                <c:pt idx="14">
                  <c:v>BCD</c:v>
                </c:pt>
                <c:pt idx="15">
                  <c:v>ABCD</c:v>
                </c:pt>
              </c:strCache>
            </c:strRef>
          </c:cat>
          <c:val>
            <c:numRef>
              <c:f>NWT!$F$3:$F$18</c:f>
              <c:numCache>
                <c:formatCode>General</c:formatCode>
                <c:ptCount val="16"/>
                <c:pt idx="0">
                  <c:v>37.35</c:v>
                </c:pt>
                <c:pt idx="1">
                  <c:v>16.59</c:v>
                </c:pt>
                <c:pt idx="2">
                  <c:v>53</c:v>
                </c:pt>
                <c:pt idx="3">
                  <c:v>45.48</c:v>
                </c:pt>
                <c:pt idx="4">
                  <c:v>38.659999999999997</c:v>
                </c:pt>
                <c:pt idx="5">
                  <c:v>21.4637462235649</c:v>
                </c:pt>
                <c:pt idx="6">
                  <c:v>48.265861027190297</c:v>
                </c:pt>
                <c:pt idx="7">
                  <c:v>14.1842900302114</c:v>
                </c:pt>
                <c:pt idx="8">
                  <c:v>57.667673716011997</c:v>
                </c:pt>
                <c:pt idx="9">
                  <c:v>43.777945619335298</c:v>
                </c:pt>
                <c:pt idx="10">
                  <c:v>45.835347432024101</c:v>
                </c:pt>
                <c:pt idx="11">
                  <c:v>49.060422960724999</c:v>
                </c:pt>
                <c:pt idx="12">
                  <c:v>37.768882175226501</c:v>
                </c:pt>
                <c:pt idx="13">
                  <c:v>43.916918429002997</c:v>
                </c:pt>
                <c:pt idx="14">
                  <c:v>55.8685800604229</c:v>
                </c:pt>
                <c:pt idx="15">
                  <c:v>43.170694864048301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11-4B14-8BC4-3A76D49E4B14}"/>
            </c:ext>
          </c:extLst>
        </c:ser>
        <c:ser>
          <c:idx val="2"/>
          <c:order val="2"/>
          <c:tx>
            <c:strRef>
              <c:f>NWT!$J$1</c:f>
              <c:strCache>
                <c:ptCount val="1"/>
                <c:pt idx="0">
                  <c:v>adaptive ultra conservative</c:v>
                </c:pt>
              </c:strCache>
            </c:strRef>
          </c:tx>
          <c:spPr>
            <a:solidFill>
              <a:schemeClr val="accent5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NWT!$C$3:$C$18</c:f>
              <c:strCache>
                <c:ptCount val="16"/>
                <c:pt idx="0">
                  <c:v>None</c:v>
                </c:pt>
                <c:pt idx="1">
                  <c:v>A</c:v>
                </c:pt>
                <c:pt idx="2">
                  <c:v>B</c:v>
                </c:pt>
                <c:pt idx="3">
                  <c:v>C</c:v>
                </c:pt>
                <c:pt idx="4">
                  <c:v>D</c:v>
                </c:pt>
                <c:pt idx="5">
                  <c:v>AB</c:v>
                </c:pt>
                <c:pt idx="6">
                  <c:v>AC</c:v>
                </c:pt>
                <c:pt idx="7">
                  <c:v>AD</c:v>
                </c:pt>
                <c:pt idx="8">
                  <c:v>BC</c:v>
                </c:pt>
                <c:pt idx="9">
                  <c:v>BD</c:v>
                </c:pt>
                <c:pt idx="10">
                  <c:v>CD</c:v>
                </c:pt>
                <c:pt idx="11">
                  <c:v>ABC</c:v>
                </c:pt>
                <c:pt idx="12">
                  <c:v>ABD</c:v>
                </c:pt>
                <c:pt idx="13">
                  <c:v>ACD</c:v>
                </c:pt>
                <c:pt idx="14">
                  <c:v>BCD</c:v>
                </c:pt>
                <c:pt idx="15">
                  <c:v>ABCD</c:v>
                </c:pt>
              </c:strCache>
            </c:strRef>
          </c:cat>
          <c:val>
            <c:numRef>
              <c:f>NWT!$J$3:$J$18</c:f>
              <c:numCache>
                <c:formatCode>General</c:formatCode>
                <c:ptCount val="16"/>
                <c:pt idx="0">
                  <c:v>18.629909365558898</c:v>
                </c:pt>
                <c:pt idx="1">
                  <c:v>14.82250755287</c:v>
                </c:pt>
                <c:pt idx="2">
                  <c:v>39.118831822759297</c:v>
                </c:pt>
                <c:pt idx="3">
                  <c:v>37.344159113796501</c:v>
                </c:pt>
                <c:pt idx="4">
                  <c:v>22.006294058408798</c:v>
                </c:pt>
                <c:pt idx="5">
                  <c:v>0.5</c:v>
                </c:pt>
                <c:pt idx="6">
                  <c:v>13.698640483383601</c:v>
                </c:pt>
                <c:pt idx="7">
                  <c:v>15.9239677744209</c:v>
                </c:pt>
                <c:pt idx="8">
                  <c:v>36.113544813695803</c:v>
                </c:pt>
                <c:pt idx="9">
                  <c:v>41.088620342396702</c:v>
                </c:pt>
                <c:pt idx="10">
                  <c:v>37.738922457200403</c:v>
                </c:pt>
                <c:pt idx="11">
                  <c:v>23.835347432024101</c:v>
                </c:pt>
                <c:pt idx="12">
                  <c:v>1.15835850956696</c:v>
                </c:pt>
                <c:pt idx="13">
                  <c:v>14.6641490433031</c:v>
                </c:pt>
                <c:pt idx="14">
                  <c:v>36.009063444108698</c:v>
                </c:pt>
                <c:pt idx="15">
                  <c:v>31.956696878147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11-4B14-8BC4-3A76D49E4B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3915935"/>
        <c:axId val="2113901535"/>
      </c:barChart>
      <c:catAx>
        <c:axId val="2113915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901535"/>
        <c:crosses val="autoZero"/>
        <c:auto val="1"/>
        <c:lblAlgn val="ctr"/>
        <c:lblOffset val="100"/>
        <c:noMultiLvlLbl val="0"/>
      </c:catAx>
      <c:valAx>
        <c:axId val="2113901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915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NWT!$D$1</c:f>
              <c:strCache>
                <c:ptCount val="1"/>
                <c:pt idx="0">
                  <c:v>baseline (t=60s)</c:v>
                </c:pt>
              </c:strCache>
            </c:strRef>
          </c:tx>
          <c:spPr>
            <a:solidFill>
              <a:schemeClr val="accent5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NWT!$C$3:$C$18</c:f>
              <c:strCache>
                <c:ptCount val="16"/>
                <c:pt idx="0">
                  <c:v>None</c:v>
                </c:pt>
                <c:pt idx="1">
                  <c:v>A</c:v>
                </c:pt>
                <c:pt idx="2">
                  <c:v>B</c:v>
                </c:pt>
                <c:pt idx="3">
                  <c:v>C</c:v>
                </c:pt>
                <c:pt idx="4">
                  <c:v>D</c:v>
                </c:pt>
                <c:pt idx="5">
                  <c:v>AB</c:v>
                </c:pt>
                <c:pt idx="6">
                  <c:v>AC</c:v>
                </c:pt>
                <c:pt idx="7">
                  <c:v>AD</c:v>
                </c:pt>
                <c:pt idx="8">
                  <c:v>BC</c:v>
                </c:pt>
                <c:pt idx="9">
                  <c:v>BD</c:v>
                </c:pt>
                <c:pt idx="10">
                  <c:v>CD</c:v>
                </c:pt>
                <c:pt idx="11">
                  <c:v>ABC</c:v>
                </c:pt>
                <c:pt idx="12">
                  <c:v>ABD</c:v>
                </c:pt>
                <c:pt idx="13">
                  <c:v>ACD</c:v>
                </c:pt>
                <c:pt idx="14">
                  <c:v>BCD</c:v>
                </c:pt>
                <c:pt idx="15">
                  <c:v>ABCD</c:v>
                </c:pt>
              </c:strCache>
            </c:strRef>
          </c:cat>
          <c:val>
            <c:numRef>
              <c:f>NWT!$E$3:$E$18</c:f>
              <c:numCache>
                <c:formatCode>General</c:formatCode>
                <c:ptCount val="16"/>
                <c:pt idx="0">
                  <c:v>0.12</c:v>
                </c:pt>
                <c:pt idx="1">
                  <c:v>2.0299999999999998</c:v>
                </c:pt>
                <c:pt idx="2">
                  <c:v>0.83</c:v>
                </c:pt>
                <c:pt idx="3">
                  <c:v>0.98</c:v>
                </c:pt>
                <c:pt idx="4">
                  <c:v>0.14000000000000001</c:v>
                </c:pt>
                <c:pt idx="5">
                  <c:v>0.73</c:v>
                </c:pt>
                <c:pt idx="6">
                  <c:v>0.89</c:v>
                </c:pt>
                <c:pt idx="7">
                  <c:v>1.66</c:v>
                </c:pt>
                <c:pt idx="8">
                  <c:v>2.37</c:v>
                </c:pt>
                <c:pt idx="9">
                  <c:v>0.74</c:v>
                </c:pt>
                <c:pt idx="10">
                  <c:v>0.83</c:v>
                </c:pt>
                <c:pt idx="11">
                  <c:v>0.66</c:v>
                </c:pt>
                <c:pt idx="12">
                  <c:v>0.73</c:v>
                </c:pt>
                <c:pt idx="13">
                  <c:v>0.86</c:v>
                </c:pt>
                <c:pt idx="14">
                  <c:v>1.73</c:v>
                </c:pt>
                <c:pt idx="15">
                  <c:v>0.65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55-452F-BDD8-655A2BD736B2}"/>
            </c:ext>
          </c:extLst>
        </c:ser>
        <c:ser>
          <c:idx val="1"/>
          <c:order val="1"/>
          <c:tx>
            <c:strRef>
              <c:f>NWT!$F$1</c:f>
              <c:strCache>
                <c:ptCount val="1"/>
                <c:pt idx="0">
                  <c:v>adaptive conservative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NWT!$C$3:$C$18</c:f>
              <c:strCache>
                <c:ptCount val="16"/>
                <c:pt idx="0">
                  <c:v>None</c:v>
                </c:pt>
                <c:pt idx="1">
                  <c:v>A</c:v>
                </c:pt>
                <c:pt idx="2">
                  <c:v>B</c:v>
                </c:pt>
                <c:pt idx="3">
                  <c:v>C</c:v>
                </c:pt>
                <c:pt idx="4">
                  <c:v>D</c:v>
                </c:pt>
                <c:pt idx="5">
                  <c:v>AB</c:v>
                </c:pt>
                <c:pt idx="6">
                  <c:v>AC</c:v>
                </c:pt>
                <c:pt idx="7">
                  <c:v>AD</c:v>
                </c:pt>
                <c:pt idx="8">
                  <c:v>BC</c:v>
                </c:pt>
                <c:pt idx="9">
                  <c:v>BD</c:v>
                </c:pt>
                <c:pt idx="10">
                  <c:v>CD</c:v>
                </c:pt>
                <c:pt idx="11">
                  <c:v>ABC</c:v>
                </c:pt>
                <c:pt idx="12">
                  <c:v>ABD</c:v>
                </c:pt>
                <c:pt idx="13">
                  <c:v>ACD</c:v>
                </c:pt>
                <c:pt idx="14">
                  <c:v>BCD</c:v>
                </c:pt>
                <c:pt idx="15">
                  <c:v>ABCD</c:v>
                </c:pt>
              </c:strCache>
            </c:strRef>
          </c:cat>
          <c:val>
            <c:numRef>
              <c:f>NWT!$G$3:$G$18</c:f>
              <c:numCache>
                <c:formatCode>General</c:formatCode>
                <c:ptCount val="16"/>
                <c:pt idx="0">
                  <c:v>0.06</c:v>
                </c:pt>
                <c:pt idx="1">
                  <c:v>0.34</c:v>
                </c:pt>
                <c:pt idx="2">
                  <c:v>0.7</c:v>
                </c:pt>
                <c:pt idx="3">
                  <c:v>0.75</c:v>
                </c:pt>
                <c:pt idx="4">
                  <c:v>0.06</c:v>
                </c:pt>
                <c:pt idx="5">
                  <c:v>0.60278171300887995</c:v>
                </c:pt>
                <c:pt idx="6">
                  <c:v>0.74577420949935902</c:v>
                </c:pt>
                <c:pt idx="7">
                  <c:v>1.41485106945037</c:v>
                </c:pt>
                <c:pt idx="8">
                  <c:v>2.1976292133331299</c:v>
                </c:pt>
                <c:pt idx="9">
                  <c:v>0.618258357048034</c:v>
                </c:pt>
                <c:pt idx="10">
                  <c:v>0.65597361326217596</c:v>
                </c:pt>
                <c:pt idx="11">
                  <c:v>0.65658277273178101</c:v>
                </c:pt>
                <c:pt idx="12">
                  <c:v>0.69652271270751898</c:v>
                </c:pt>
                <c:pt idx="13">
                  <c:v>0.64224714040756203</c:v>
                </c:pt>
                <c:pt idx="14">
                  <c:v>2.0766952037811199</c:v>
                </c:pt>
                <c:pt idx="15">
                  <c:v>0.64656275510787897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55-452F-BDD8-655A2BD736B2}"/>
            </c:ext>
          </c:extLst>
        </c:ser>
        <c:ser>
          <c:idx val="2"/>
          <c:order val="2"/>
          <c:tx>
            <c:strRef>
              <c:f>NWT!$J$1</c:f>
              <c:strCache>
                <c:ptCount val="1"/>
                <c:pt idx="0">
                  <c:v>adaptive ultra conservative</c:v>
                </c:pt>
              </c:strCache>
            </c:strRef>
          </c:tx>
          <c:spPr>
            <a:solidFill>
              <a:schemeClr val="accent5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NWT!$C$3:$C$18</c:f>
              <c:strCache>
                <c:ptCount val="16"/>
                <c:pt idx="0">
                  <c:v>None</c:v>
                </c:pt>
                <c:pt idx="1">
                  <c:v>A</c:v>
                </c:pt>
                <c:pt idx="2">
                  <c:v>B</c:v>
                </c:pt>
                <c:pt idx="3">
                  <c:v>C</c:v>
                </c:pt>
                <c:pt idx="4">
                  <c:v>D</c:v>
                </c:pt>
                <c:pt idx="5">
                  <c:v>AB</c:v>
                </c:pt>
                <c:pt idx="6">
                  <c:v>AC</c:v>
                </c:pt>
                <c:pt idx="7">
                  <c:v>AD</c:v>
                </c:pt>
                <c:pt idx="8">
                  <c:v>BC</c:v>
                </c:pt>
                <c:pt idx="9">
                  <c:v>BD</c:v>
                </c:pt>
                <c:pt idx="10">
                  <c:v>CD</c:v>
                </c:pt>
                <c:pt idx="11">
                  <c:v>ABC</c:v>
                </c:pt>
                <c:pt idx="12">
                  <c:v>ABD</c:v>
                </c:pt>
                <c:pt idx="13">
                  <c:v>ACD</c:v>
                </c:pt>
                <c:pt idx="14">
                  <c:v>BCD</c:v>
                </c:pt>
                <c:pt idx="15">
                  <c:v>ABCD</c:v>
                </c:pt>
              </c:strCache>
            </c:strRef>
          </c:cat>
          <c:val>
            <c:numRef>
              <c:f>NWT!$K$3:$K$18</c:f>
              <c:numCache>
                <c:formatCode>General</c:formatCode>
                <c:ptCount val="16"/>
                <c:pt idx="0">
                  <c:v>5.7845899999999999E-2</c:v>
                </c:pt>
                <c:pt idx="1">
                  <c:v>0.86722635999999997</c:v>
                </c:pt>
                <c:pt idx="2">
                  <c:v>0.64037233999999998</c:v>
                </c:pt>
                <c:pt idx="3">
                  <c:v>0.64979379999999998</c:v>
                </c:pt>
                <c:pt idx="4">
                  <c:v>0.11504462999999999</c:v>
                </c:pt>
                <c:pt idx="5">
                  <c:v>0.27514729999999998</c:v>
                </c:pt>
                <c:pt idx="6">
                  <c:v>0.41275771999999999</c:v>
                </c:pt>
                <c:pt idx="7">
                  <c:v>0.38465654999999999</c:v>
                </c:pt>
                <c:pt idx="8">
                  <c:v>0.76578385000000004</c:v>
                </c:pt>
                <c:pt idx="9">
                  <c:v>0.62209104999999998</c:v>
                </c:pt>
                <c:pt idx="10">
                  <c:v>0.6158536</c:v>
                </c:pt>
                <c:pt idx="11">
                  <c:v>0.62006720000000004</c:v>
                </c:pt>
                <c:pt idx="12">
                  <c:v>0.65139910000000001</c:v>
                </c:pt>
                <c:pt idx="13">
                  <c:v>0.54911390000000004</c:v>
                </c:pt>
                <c:pt idx="14">
                  <c:v>0.65870600000000001</c:v>
                </c:pt>
                <c:pt idx="15">
                  <c:v>0.6452852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55-452F-BDD8-655A2BD736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3915935"/>
        <c:axId val="2113901535"/>
      </c:barChart>
      <c:catAx>
        <c:axId val="2113915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901535"/>
        <c:crosses val="autoZero"/>
        <c:auto val="1"/>
        <c:lblAlgn val="ctr"/>
        <c:lblOffset val="100"/>
        <c:noMultiLvlLbl val="0"/>
      </c:catAx>
      <c:valAx>
        <c:axId val="2113901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error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915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NWT_LSTM_factor!$C$2</c:f>
              <c:strCache>
                <c:ptCount val="1"/>
                <c:pt idx="0">
                  <c:v>0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NWT_LSTM_factor!$B$3:$B$12</c:f>
              <c:strCache>
                <c:ptCount val="10"/>
                <c:pt idx="0">
                  <c:v>p16</c:v>
                </c:pt>
                <c:pt idx="1">
                  <c:v>p17</c:v>
                </c:pt>
                <c:pt idx="2">
                  <c:v>p18</c:v>
                </c:pt>
                <c:pt idx="3">
                  <c:v>p19</c:v>
                </c:pt>
                <c:pt idx="4">
                  <c:v>p20</c:v>
                </c:pt>
                <c:pt idx="5">
                  <c:v>p21</c:v>
                </c:pt>
                <c:pt idx="6">
                  <c:v>p22</c:v>
                </c:pt>
                <c:pt idx="7">
                  <c:v>p23</c:v>
                </c:pt>
                <c:pt idx="8">
                  <c:v>p24</c:v>
                </c:pt>
                <c:pt idx="9">
                  <c:v>p25</c:v>
                </c:pt>
              </c:strCache>
            </c:strRef>
          </c:cat>
          <c:val>
            <c:numRef>
              <c:f>NWT_LSTM_factor!$C$3:$C$12</c:f>
              <c:numCache>
                <c:formatCode>0.000</c:formatCode>
                <c:ptCount val="10"/>
                <c:pt idx="0">
                  <c:v>0.27189540863037098</c:v>
                </c:pt>
                <c:pt idx="1">
                  <c:v>0.233973428606987</c:v>
                </c:pt>
                <c:pt idx="2">
                  <c:v>0.217545881867408</c:v>
                </c:pt>
                <c:pt idx="3">
                  <c:v>0.18054699897766099</c:v>
                </c:pt>
                <c:pt idx="4">
                  <c:v>0.162834748625755</c:v>
                </c:pt>
                <c:pt idx="5">
                  <c:v>0.13878118991851801</c:v>
                </c:pt>
                <c:pt idx="6">
                  <c:v>0.122496925294399</c:v>
                </c:pt>
                <c:pt idx="7">
                  <c:v>0.118564888834953</c:v>
                </c:pt>
                <c:pt idx="8">
                  <c:v>0.118880815804004</c:v>
                </c:pt>
                <c:pt idx="9">
                  <c:v>0.117890156805515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D8-4E96-A204-E6348B5573F0}"/>
            </c:ext>
          </c:extLst>
        </c:ser>
        <c:ser>
          <c:idx val="1"/>
          <c:order val="1"/>
          <c:tx>
            <c:strRef>
              <c:f>NWT_LSTM_factor!$D$2</c:f>
              <c:strCache>
                <c:ptCount val="1"/>
                <c:pt idx="0">
                  <c:v>0.25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NWT_LSTM_factor!$B$3:$B$12</c:f>
              <c:strCache>
                <c:ptCount val="10"/>
                <c:pt idx="0">
                  <c:v>p16</c:v>
                </c:pt>
                <c:pt idx="1">
                  <c:v>p17</c:v>
                </c:pt>
                <c:pt idx="2">
                  <c:v>p18</c:v>
                </c:pt>
                <c:pt idx="3">
                  <c:v>p19</c:v>
                </c:pt>
                <c:pt idx="4">
                  <c:v>p20</c:v>
                </c:pt>
                <c:pt idx="5">
                  <c:v>p21</c:v>
                </c:pt>
                <c:pt idx="6">
                  <c:v>p22</c:v>
                </c:pt>
                <c:pt idx="7">
                  <c:v>p23</c:v>
                </c:pt>
                <c:pt idx="8">
                  <c:v>p24</c:v>
                </c:pt>
                <c:pt idx="9">
                  <c:v>p25</c:v>
                </c:pt>
              </c:strCache>
            </c:strRef>
          </c:cat>
          <c:val>
            <c:numRef>
              <c:f>NWT_LSTM_factor!$D$3:$D$12</c:f>
              <c:numCache>
                <c:formatCode>0.000</c:formatCode>
                <c:ptCount val="10"/>
                <c:pt idx="0">
                  <c:v>0.36382037401199302</c:v>
                </c:pt>
                <c:pt idx="1">
                  <c:v>0.33200874924659701</c:v>
                </c:pt>
                <c:pt idx="2">
                  <c:v>0.318383008241653</c:v>
                </c:pt>
                <c:pt idx="3">
                  <c:v>0.29057478904724099</c:v>
                </c:pt>
                <c:pt idx="4">
                  <c:v>0.27828323841094899</c:v>
                </c:pt>
                <c:pt idx="5">
                  <c:v>0.25960284471511802</c:v>
                </c:pt>
                <c:pt idx="6">
                  <c:v>0.247472614049911</c:v>
                </c:pt>
                <c:pt idx="7">
                  <c:v>0.24156846106052399</c:v>
                </c:pt>
                <c:pt idx="8">
                  <c:v>0.24171119928359899</c:v>
                </c:pt>
                <c:pt idx="9">
                  <c:v>0.23946288228034901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D8-4E96-A204-E6348B5573F0}"/>
            </c:ext>
          </c:extLst>
        </c:ser>
        <c:ser>
          <c:idx val="2"/>
          <c:order val="2"/>
          <c:tx>
            <c:strRef>
              <c:f>NWT_LSTM_factor!$E$2</c:f>
              <c:strCache>
                <c:ptCount val="1"/>
                <c:pt idx="0">
                  <c:v>0.5</c:v>
                </c:pt>
              </c:strCache>
            </c:strRef>
          </c:tx>
          <c:spPr>
            <a:ln w="28575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NWT_LSTM_factor!$B$3:$B$12</c:f>
              <c:strCache>
                <c:ptCount val="10"/>
                <c:pt idx="0">
                  <c:v>p16</c:v>
                </c:pt>
                <c:pt idx="1">
                  <c:v>p17</c:v>
                </c:pt>
                <c:pt idx="2">
                  <c:v>p18</c:v>
                </c:pt>
                <c:pt idx="3">
                  <c:v>p19</c:v>
                </c:pt>
                <c:pt idx="4">
                  <c:v>p20</c:v>
                </c:pt>
                <c:pt idx="5">
                  <c:v>p21</c:v>
                </c:pt>
                <c:pt idx="6">
                  <c:v>p22</c:v>
                </c:pt>
                <c:pt idx="7">
                  <c:v>p23</c:v>
                </c:pt>
                <c:pt idx="8">
                  <c:v>p24</c:v>
                </c:pt>
                <c:pt idx="9">
                  <c:v>p25</c:v>
                </c:pt>
              </c:strCache>
            </c:strRef>
          </c:cat>
          <c:val>
            <c:numRef>
              <c:f>NWT_LSTM_factor!$E$3:$E$12</c:f>
              <c:numCache>
                <c:formatCode>0.000</c:formatCode>
                <c:ptCount val="10"/>
                <c:pt idx="0">
                  <c:v>0.494205951690673</c:v>
                </c:pt>
                <c:pt idx="1">
                  <c:v>0.474079400300979</c:v>
                </c:pt>
                <c:pt idx="2">
                  <c:v>0.467355877161026</c:v>
                </c:pt>
                <c:pt idx="3">
                  <c:v>0.44592031836509699</c:v>
                </c:pt>
                <c:pt idx="4">
                  <c:v>0.43857946991920399</c:v>
                </c:pt>
                <c:pt idx="5">
                  <c:v>0.42409878969192499</c:v>
                </c:pt>
                <c:pt idx="6">
                  <c:v>0.41256707906723</c:v>
                </c:pt>
                <c:pt idx="7">
                  <c:v>0.40130293369293202</c:v>
                </c:pt>
                <c:pt idx="8">
                  <c:v>0.40162569284438998</c:v>
                </c:pt>
                <c:pt idx="9">
                  <c:v>0.399296194314956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D8-4E96-A204-E6348B5573F0}"/>
            </c:ext>
          </c:extLst>
        </c:ser>
        <c:ser>
          <c:idx val="3"/>
          <c:order val="3"/>
          <c:tx>
            <c:strRef>
              <c:f>NWT_LSTM_factor!$F$2</c:f>
              <c:strCache>
                <c:ptCount val="1"/>
                <c:pt idx="0">
                  <c:v>0.75</c:v>
                </c:pt>
              </c:strCache>
            </c:strRef>
          </c:tx>
          <c:spPr>
            <a:ln w="28575" cap="rnd">
              <a:solidFill>
                <a:schemeClr val="accent5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NWT_LSTM_factor!$B$3:$B$12</c:f>
              <c:strCache>
                <c:ptCount val="10"/>
                <c:pt idx="0">
                  <c:v>p16</c:v>
                </c:pt>
                <c:pt idx="1">
                  <c:v>p17</c:v>
                </c:pt>
                <c:pt idx="2">
                  <c:v>p18</c:v>
                </c:pt>
                <c:pt idx="3">
                  <c:v>p19</c:v>
                </c:pt>
                <c:pt idx="4">
                  <c:v>p20</c:v>
                </c:pt>
                <c:pt idx="5">
                  <c:v>p21</c:v>
                </c:pt>
                <c:pt idx="6">
                  <c:v>p22</c:v>
                </c:pt>
                <c:pt idx="7">
                  <c:v>p23</c:v>
                </c:pt>
                <c:pt idx="8">
                  <c:v>p24</c:v>
                </c:pt>
                <c:pt idx="9">
                  <c:v>p25</c:v>
                </c:pt>
              </c:strCache>
            </c:strRef>
          </c:cat>
          <c:val>
            <c:numRef>
              <c:f>NWT_LSTM_factor!$F$3:$F$12</c:f>
              <c:numCache>
                <c:formatCode>0.000</c:formatCode>
                <c:ptCount val="10"/>
                <c:pt idx="0">
                  <c:v>0.55866557359695401</c:v>
                </c:pt>
                <c:pt idx="1">
                  <c:v>0.54391020536422696</c:v>
                </c:pt>
                <c:pt idx="2">
                  <c:v>0.53917318582534701</c:v>
                </c:pt>
                <c:pt idx="3">
                  <c:v>0.53005999326705899</c:v>
                </c:pt>
                <c:pt idx="4">
                  <c:v>0.52790868282318104</c:v>
                </c:pt>
                <c:pt idx="5">
                  <c:v>0.51678901910781805</c:v>
                </c:pt>
                <c:pt idx="6">
                  <c:v>0.51719731092453003</c:v>
                </c:pt>
                <c:pt idx="7">
                  <c:v>0.51193130016326904</c:v>
                </c:pt>
                <c:pt idx="8">
                  <c:v>0.512864649295806</c:v>
                </c:pt>
                <c:pt idx="9">
                  <c:v>0.51525521278381303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CD8-4E96-A204-E6348B5573F0}"/>
            </c:ext>
          </c:extLst>
        </c:ser>
        <c:ser>
          <c:idx val="4"/>
          <c:order val="4"/>
          <c:tx>
            <c:strRef>
              <c:f>NWT_LSTM_factor!$I$2</c:f>
              <c:strCache>
                <c:ptCount val="1"/>
                <c:pt idx="0">
                  <c:v>0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NWT_LSTM_factor!$B$3:$B$12</c:f>
              <c:strCache>
                <c:ptCount val="10"/>
                <c:pt idx="0">
                  <c:v>p16</c:v>
                </c:pt>
                <c:pt idx="1">
                  <c:v>p17</c:v>
                </c:pt>
                <c:pt idx="2">
                  <c:v>p18</c:v>
                </c:pt>
                <c:pt idx="3">
                  <c:v>p19</c:v>
                </c:pt>
                <c:pt idx="4">
                  <c:v>p20</c:v>
                </c:pt>
                <c:pt idx="5">
                  <c:v>p21</c:v>
                </c:pt>
                <c:pt idx="6">
                  <c:v>p22</c:v>
                </c:pt>
                <c:pt idx="7">
                  <c:v>p23</c:v>
                </c:pt>
                <c:pt idx="8">
                  <c:v>p24</c:v>
                </c:pt>
                <c:pt idx="9">
                  <c:v>p25</c:v>
                </c:pt>
              </c:strCache>
            </c:strRef>
          </c:cat>
          <c:val>
            <c:numRef>
              <c:f>NWT_LSTM_factor!$I$3:$I$12</c:f>
              <c:numCache>
                <c:formatCode>0.000</c:formatCode>
                <c:ptCount val="10"/>
                <c:pt idx="0">
                  <c:v>8.5170909762382493E-2</c:v>
                </c:pt>
                <c:pt idx="1">
                  <c:v>8.2391157746315002E-2</c:v>
                </c:pt>
                <c:pt idx="2">
                  <c:v>7.9760983586311299E-2</c:v>
                </c:pt>
                <c:pt idx="3">
                  <c:v>7.9597905278205802E-2</c:v>
                </c:pt>
                <c:pt idx="4">
                  <c:v>8.1660643219947801E-2</c:v>
                </c:pt>
                <c:pt idx="5">
                  <c:v>8.42735320329666E-2</c:v>
                </c:pt>
                <c:pt idx="6">
                  <c:v>8.6243011057376806E-2</c:v>
                </c:pt>
                <c:pt idx="7">
                  <c:v>9.2112235724925995E-2</c:v>
                </c:pt>
                <c:pt idx="8">
                  <c:v>9.1786026954650796E-2</c:v>
                </c:pt>
                <c:pt idx="9">
                  <c:v>0.10363265126943499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CD8-4E96-A204-E6348B5573F0}"/>
            </c:ext>
          </c:extLst>
        </c:ser>
        <c:ser>
          <c:idx val="5"/>
          <c:order val="5"/>
          <c:tx>
            <c:strRef>
              <c:f>NWT_LSTM_factor!$J$2</c:f>
              <c:strCache>
                <c:ptCount val="1"/>
                <c:pt idx="0">
                  <c:v>0.25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NWT_LSTM_factor!$B$3:$B$12</c:f>
              <c:strCache>
                <c:ptCount val="10"/>
                <c:pt idx="0">
                  <c:v>p16</c:v>
                </c:pt>
                <c:pt idx="1">
                  <c:v>p17</c:v>
                </c:pt>
                <c:pt idx="2">
                  <c:v>p18</c:v>
                </c:pt>
                <c:pt idx="3">
                  <c:v>p19</c:v>
                </c:pt>
                <c:pt idx="4">
                  <c:v>p20</c:v>
                </c:pt>
                <c:pt idx="5">
                  <c:v>p21</c:v>
                </c:pt>
                <c:pt idx="6">
                  <c:v>p22</c:v>
                </c:pt>
                <c:pt idx="7">
                  <c:v>p23</c:v>
                </c:pt>
                <c:pt idx="8">
                  <c:v>p24</c:v>
                </c:pt>
                <c:pt idx="9">
                  <c:v>p25</c:v>
                </c:pt>
              </c:strCache>
            </c:strRef>
          </c:cat>
          <c:val>
            <c:numRef>
              <c:f>NWT_LSTM_factor!$J$3:$J$12</c:f>
              <c:numCache>
                <c:formatCode>0.000</c:formatCode>
                <c:ptCount val="10"/>
                <c:pt idx="0">
                  <c:v>0.222528532147407</c:v>
                </c:pt>
                <c:pt idx="1">
                  <c:v>0.22033174335956501</c:v>
                </c:pt>
                <c:pt idx="2">
                  <c:v>0.218766540288925</c:v>
                </c:pt>
                <c:pt idx="3">
                  <c:v>0.21739374101161901</c:v>
                </c:pt>
                <c:pt idx="4">
                  <c:v>0.214857518672943</c:v>
                </c:pt>
                <c:pt idx="5">
                  <c:v>0.216085910797119</c:v>
                </c:pt>
                <c:pt idx="6">
                  <c:v>0.21605767309665599</c:v>
                </c:pt>
                <c:pt idx="7">
                  <c:v>0.21640263497829401</c:v>
                </c:pt>
                <c:pt idx="8">
                  <c:v>0.215674743056297</c:v>
                </c:pt>
                <c:pt idx="9">
                  <c:v>0.22232507169246599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CD8-4E96-A204-E6348B5573F0}"/>
            </c:ext>
          </c:extLst>
        </c:ser>
        <c:ser>
          <c:idx val="6"/>
          <c:order val="6"/>
          <c:tx>
            <c:strRef>
              <c:f>NWT_LSTM_factor!$K$2</c:f>
              <c:strCache>
                <c:ptCount val="1"/>
                <c:pt idx="0">
                  <c:v>0.5</c:v>
                </c:pt>
              </c:strCache>
            </c:strRef>
          </c:tx>
          <c:spPr>
            <a:ln w="28575" cap="rnd">
              <a:solidFill>
                <a:schemeClr val="accent5">
                  <a:lumMod val="40000"/>
                  <a:lumOff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NWT_LSTM_factor!$B$3:$B$12</c:f>
              <c:strCache>
                <c:ptCount val="10"/>
                <c:pt idx="0">
                  <c:v>p16</c:v>
                </c:pt>
                <c:pt idx="1">
                  <c:v>p17</c:v>
                </c:pt>
                <c:pt idx="2">
                  <c:v>p18</c:v>
                </c:pt>
                <c:pt idx="3">
                  <c:v>p19</c:v>
                </c:pt>
                <c:pt idx="4">
                  <c:v>p20</c:v>
                </c:pt>
                <c:pt idx="5">
                  <c:v>p21</c:v>
                </c:pt>
                <c:pt idx="6">
                  <c:v>p22</c:v>
                </c:pt>
                <c:pt idx="7">
                  <c:v>p23</c:v>
                </c:pt>
                <c:pt idx="8">
                  <c:v>p24</c:v>
                </c:pt>
                <c:pt idx="9">
                  <c:v>p25</c:v>
                </c:pt>
              </c:strCache>
            </c:strRef>
          </c:cat>
          <c:val>
            <c:numRef>
              <c:f>NWT_LSTM_factor!$K$3:$K$12</c:f>
              <c:numCache>
                <c:formatCode>0.000</c:formatCode>
                <c:ptCount val="10"/>
                <c:pt idx="0">
                  <c:v>0.35094916820526101</c:v>
                </c:pt>
                <c:pt idx="1">
                  <c:v>0.35180640220642001</c:v>
                </c:pt>
                <c:pt idx="2">
                  <c:v>0.34959441423416099</c:v>
                </c:pt>
                <c:pt idx="3">
                  <c:v>0.34965860843658397</c:v>
                </c:pt>
                <c:pt idx="4">
                  <c:v>0.34866455197334201</c:v>
                </c:pt>
                <c:pt idx="5">
                  <c:v>0.34663981199264499</c:v>
                </c:pt>
                <c:pt idx="6">
                  <c:v>0.34652954339981001</c:v>
                </c:pt>
                <c:pt idx="7">
                  <c:v>0.346067875623703</c:v>
                </c:pt>
                <c:pt idx="8">
                  <c:v>0.343812555074691</c:v>
                </c:pt>
                <c:pt idx="9">
                  <c:v>0.350458443164825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CD8-4E96-A204-E6348B5573F0}"/>
            </c:ext>
          </c:extLst>
        </c:ser>
        <c:ser>
          <c:idx val="7"/>
          <c:order val="7"/>
          <c:tx>
            <c:strRef>
              <c:f>NWT_LSTM_factor!$L$2</c:f>
              <c:strCache>
                <c:ptCount val="1"/>
                <c:pt idx="0">
                  <c:v>0.75</c:v>
                </c:pt>
              </c:strCache>
            </c:strRef>
          </c:tx>
          <c:spPr>
            <a:ln w="28575" cap="rnd">
              <a:solidFill>
                <a:schemeClr val="accent5">
                  <a:lumMod val="20000"/>
                  <a:lumOff val="8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NWT_LSTM_factor!$B$3:$B$12</c:f>
              <c:strCache>
                <c:ptCount val="10"/>
                <c:pt idx="0">
                  <c:v>p16</c:v>
                </c:pt>
                <c:pt idx="1">
                  <c:v>p17</c:v>
                </c:pt>
                <c:pt idx="2">
                  <c:v>p18</c:v>
                </c:pt>
                <c:pt idx="3">
                  <c:v>p19</c:v>
                </c:pt>
                <c:pt idx="4">
                  <c:v>p20</c:v>
                </c:pt>
                <c:pt idx="5">
                  <c:v>p21</c:v>
                </c:pt>
                <c:pt idx="6">
                  <c:v>p22</c:v>
                </c:pt>
                <c:pt idx="7">
                  <c:v>p23</c:v>
                </c:pt>
                <c:pt idx="8">
                  <c:v>p24</c:v>
                </c:pt>
                <c:pt idx="9">
                  <c:v>p25</c:v>
                </c:pt>
              </c:strCache>
            </c:strRef>
          </c:cat>
          <c:val>
            <c:numRef>
              <c:f>NWT_LSTM_factor!$L$3:$L$12</c:f>
              <c:numCache>
                <c:formatCode>0.000</c:formatCode>
                <c:ptCount val="10"/>
                <c:pt idx="0">
                  <c:v>0.51307475566864003</c:v>
                </c:pt>
                <c:pt idx="1">
                  <c:v>0.51111000776290805</c:v>
                </c:pt>
                <c:pt idx="2">
                  <c:v>0.51007163524627597</c:v>
                </c:pt>
                <c:pt idx="3">
                  <c:v>0.51108288764953602</c:v>
                </c:pt>
                <c:pt idx="4">
                  <c:v>0.51112741231918302</c:v>
                </c:pt>
                <c:pt idx="5">
                  <c:v>0.51035559177398604</c:v>
                </c:pt>
                <c:pt idx="6">
                  <c:v>0.510017991065979</c:v>
                </c:pt>
                <c:pt idx="7">
                  <c:v>0.50887721776962203</c:v>
                </c:pt>
                <c:pt idx="8">
                  <c:v>0.50546354055404596</c:v>
                </c:pt>
                <c:pt idx="9">
                  <c:v>0.51009666919708196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CD8-4E96-A204-E6348B5573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6220064"/>
        <c:axId val="1546216704"/>
      </c:lineChart>
      <c:catAx>
        <c:axId val="1546220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46216704"/>
        <c:crosses val="autoZero"/>
        <c:auto val="1"/>
        <c:lblAlgn val="ctr"/>
        <c:lblOffset val="100"/>
        <c:noMultiLvlLbl val="0"/>
      </c:catAx>
      <c:valAx>
        <c:axId val="1546216704"/>
        <c:scaling>
          <c:orientation val="minMax"/>
        </c:scaling>
        <c:delete val="0"/>
        <c:axPos val="l"/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46220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85000"/>
          <a:lumOff val="1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5">
                <a:tint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NWT_LSTM_factor!$B$13:$B$72</c15:sqref>
                  </c15:fullRef>
                </c:ext>
              </c:extLst>
              <c:f>(NWT_LSTM_factor!$B$13,NWT_LSTM_factor!$B$15:$B$25,NWT_LSTM_factor!$B$27:$B$37,NWT_LSTM_factor!$B$39:$B$49,NWT_LSTM_factor!$B$51:$B$61,NWT_LSTM_factor!$B$63:$B$72)</c:f>
              <c:strCache>
                <c:ptCount val="55"/>
                <c:pt idx="0">
                  <c:v>Λ=1.0</c:v>
                </c:pt>
                <c:pt idx="1">
                  <c:v>p16</c:v>
                </c:pt>
                <c:pt idx="2">
                  <c:v>p17</c:v>
                </c:pt>
                <c:pt idx="3">
                  <c:v>p18</c:v>
                </c:pt>
                <c:pt idx="4">
                  <c:v>p19</c:v>
                </c:pt>
                <c:pt idx="5">
                  <c:v>p20</c:v>
                </c:pt>
                <c:pt idx="6">
                  <c:v>p21</c:v>
                </c:pt>
                <c:pt idx="7">
                  <c:v>p22</c:v>
                </c:pt>
                <c:pt idx="8">
                  <c:v>p23</c:v>
                </c:pt>
                <c:pt idx="9">
                  <c:v>p24</c:v>
                </c:pt>
                <c:pt idx="10">
                  <c:v>p25</c:v>
                </c:pt>
                <c:pt idx="11">
                  <c:v>Λ=0.75</c:v>
                </c:pt>
                <c:pt idx="12">
                  <c:v>p16</c:v>
                </c:pt>
                <c:pt idx="13">
                  <c:v>p17</c:v>
                </c:pt>
                <c:pt idx="14">
                  <c:v>p18</c:v>
                </c:pt>
                <c:pt idx="15">
                  <c:v>p19</c:v>
                </c:pt>
                <c:pt idx="16">
                  <c:v>p20</c:v>
                </c:pt>
                <c:pt idx="17">
                  <c:v>p21</c:v>
                </c:pt>
                <c:pt idx="18">
                  <c:v>p22</c:v>
                </c:pt>
                <c:pt idx="19">
                  <c:v>p23</c:v>
                </c:pt>
                <c:pt idx="20">
                  <c:v>p24</c:v>
                </c:pt>
                <c:pt idx="21">
                  <c:v>p25</c:v>
                </c:pt>
                <c:pt idx="22">
                  <c:v>Λ=0.5</c:v>
                </c:pt>
                <c:pt idx="23">
                  <c:v>p16</c:v>
                </c:pt>
                <c:pt idx="24">
                  <c:v>p17</c:v>
                </c:pt>
                <c:pt idx="25">
                  <c:v>p18</c:v>
                </c:pt>
                <c:pt idx="26">
                  <c:v>p19</c:v>
                </c:pt>
                <c:pt idx="27">
                  <c:v>p20</c:v>
                </c:pt>
                <c:pt idx="28">
                  <c:v>p21</c:v>
                </c:pt>
                <c:pt idx="29">
                  <c:v>p22</c:v>
                </c:pt>
                <c:pt idx="30">
                  <c:v>p23</c:v>
                </c:pt>
                <c:pt idx="31">
                  <c:v>p24</c:v>
                </c:pt>
                <c:pt idx="32">
                  <c:v>p25</c:v>
                </c:pt>
                <c:pt idx="33">
                  <c:v>Λ=0.25</c:v>
                </c:pt>
                <c:pt idx="34">
                  <c:v>p16</c:v>
                </c:pt>
                <c:pt idx="35">
                  <c:v>p17</c:v>
                </c:pt>
                <c:pt idx="36">
                  <c:v>p18</c:v>
                </c:pt>
                <c:pt idx="37">
                  <c:v>p19</c:v>
                </c:pt>
                <c:pt idx="38">
                  <c:v>p20</c:v>
                </c:pt>
                <c:pt idx="39">
                  <c:v>p21</c:v>
                </c:pt>
                <c:pt idx="40">
                  <c:v>p22</c:v>
                </c:pt>
                <c:pt idx="41">
                  <c:v>p23</c:v>
                </c:pt>
                <c:pt idx="42">
                  <c:v>p24</c:v>
                </c:pt>
                <c:pt idx="43">
                  <c:v>p25</c:v>
                </c:pt>
                <c:pt idx="44">
                  <c:v>Λ=0.0</c:v>
                </c:pt>
                <c:pt idx="45">
                  <c:v>p16</c:v>
                </c:pt>
                <c:pt idx="46">
                  <c:v>p17</c:v>
                </c:pt>
                <c:pt idx="47">
                  <c:v>p18</c:v>
                </c:pt>
                <c:pt idx="48">
                  <c:v>p19</c:v>
                </c:pt>
                <c:pt idx="49">
                  <c:v>p20</c:v>
                </c:pt>
                <c:pt idx="50">
                  <c:v>p21</c:v>
                </c:pt>
                <c:pt idx="51">
                  <c:v>p22</c:v>
                </c:pt>
                <c:pt idx="52">
                  <c:v>p23</c:v>
                </c:pt>
                <c:pt idx="53">
                  <c:v>p24</c:v>
                </c:pt>
                <c:pt idx="54">
                  <c:v>p25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NWT_LSTM_factor!$C$13:$C$72</c15:sqref>
                  </c15:fullRef>
                </c:ext>
              </c:extLst>
              <c:f>(NWT_LSTM_factor!$C$13,NWT_LSTM_factor!$C$15:$C$25,NWT_LSTM_factor!$C$27:$C$37,NWT_LSTM_factor!$C$39:$C$49,NWT_LSTM_factor!$C$51:$C$61,NWT_LSTM_factor!$C$63:$C$72)</c:f>
              <c:numCache>
                <c:formatCode>General</c:formatCode>
                <c:ptCount val="55"/>
                <c:pt idx="1" formatCode="0.000">
                  <c:v>0.27189540863037098</c:v>
                </c:pt>
                <c:pt idx="2" formatCode="0.000">
                  <c:v>0.233973428606987</c:v>
                </c:pt>
                <c:pt idx="3" formatCode="0.000">
                  <c:v>0.217545881867408</c:v>
                </c:pt>
                <c:pt idx="4" formatCode="0.000">
                  <c:v>0.18054699897766099</c:v>
                </c:pt>
                <c:pt idx="5" formatCode="0.000">
                  <c:v>0.162834748625755</c:v>
                </c:pt>
                <c:pt idx="6" formatCode="0.000">
                  <c:v>0.13878118991851801</c:v>
                </c:pt>
                <c:pt idx="7" formatCode="0.000">
                  <c:v>0.122496925294399</c:v>
                </c:pt>
                <c:pt idx="8" formatCode="0.000">
                  <c:v>0.118564888834953</c:v>
                </c:pt>
                <c:pt idx="9" formatCode="0.000">
                  <c:v>0.118880815804004</c:v>
                </c:pt>
                <c:pt idx="10" formatCode="0.000">
                  <c:v>0.117890156805515</c:v>
                </c:pt>
                <c:pt idx="12" formatCode="0.000">
                  <c:v>0.27189540863037098</c:v>
                </c:pt>
                <c:pt idx="13" formatCode="0.000">
                  <c:v>0.233973428606987</c:v>
                </c:pt>
                <c:pt idx="14" formatCode="0.000">
                  <c:v>0.217545881867408</c:v>
                </c:pt>
                <c:pt idx="15" formatCode="0.000">
                  <c:v>0.18054699897766099</c:v>
                </c:pt>
                <c:pt idx="16" formatCode="0.000">
                  <c:v>0.162834748625755</c:v>
                </c:pt>
                <c:pt idx="17" formatCode="0.000">
                  <c:v>0.13878118991851801</c:v>
                </c:pt>
                <c:pt idx="18" formatCode="0.000">
                  <c:v>0.122496925294399</c:v>
                </c:pt>
                <c:pt idx="19" formatCode="0.000">
                  <c:v>0.118564888834953</c:v>
                </c:pt>
                <c:pt idx="20" formatCode="0.000">
                  <c:v>0.118880815804004</c:v>
                </c:pt>
                <c:pt idx="21" formatCode="0.000">
                  <c:v>0.117890156805515</c:v>
                </c:pt>
                <c:pt idx="23" formatCode="0.000">
                  <c:v>0.27189540899999998</c:v>
                </c:pt>
                <c:pt idx="24" formatCode="0.000">
                  <c:v>0.23397342900000001</c:v>
                </c:pt>
                <c:pt idx="25" formatCode="0.000">
                  <c:v>0.217545882</c:v>
                </c:pt>
                <c:pt idx="26" formatCode="0.000">
                  <c:v>0.18054699900000001</c:v>
                </c:pt>
                <c:pt idx="27" formatCode="0.000">
                  <c:v>0.162834749</c:v>
                </c:pt>
                <c:pt idx="28" formatCode="0.000">
                  <c:v>0.13878119</c:v>
                </c:pt>
                <c:pt idx="29" formatCode="0.000">
                  <c:v>0.12249692500000001</c:v>
                </c:pt>
                <c:pt idx="30" formatCode="0.000">
                  <c:v>0.11856488900000001</c:v>
                </c:pt>
                <c:pt idx="31" formatCode="0.000">
                  <c:v>0.118880816</c:v>
                </c:pt>
                <c:pt idx="32" formatCode="0.000">
                  <c:v>0.117890157</c:v>
                </c:pt>
                <c:pt idx="34">
                  <c:v>0.27189540863037098</c:v>
                </c:pt>
                <c:pt idx="35">
                  <c:v>0.233973428606987</c:v>
                </c:pt>
                <c:pt idx="36">
                  <c:v>0.217545881867408</c:v>
                </c:pt>
                <c:pt idx="37">
                  <c:v>0.18054699897766099</c:v>
                </c:pt>
                <c:pt idx="38">
                  <c:v>0.162834748625755</c:v>
                </c:pt>
                <c:pt idx="39">
                  <c:v>0.13878118991851801</c:v>
                </c:pt>
                <c:pt idx="40">
                  <c:v>0.122496925294399</c:v>
                </c:pt>
                <c:pt idx="41">
                  <c:v>0.118564888834953</c:v>
                </c:pt>
                <c:pt idx="42">
                  <c:v>0.118880815804004</c:v>
                </c:pt>
                <c:pt idx="43">
                  <c:v>0.117890156805515</c:v>
                </c:pt>
                <c:pt idx="45" formatCode="0.000">
                  <c:v>0.27189540863037098</c:v>
                </c:pt>
                <c:pt idx="46" formatCode="0.000">
                  <c:v>0.233973428606987</c:v>
                </c:pt>
                <c:pt idx="47" formatCode="0.000">
                  <c:v>0.217545881867408</c:v>
                </c:pt>
                <c:pt idx="48" formatCode="0.000">
                  <c:v>0.18054699897766099</c:v>
                </c:pt>
                <c:pt idx="49" formatCode="0.000">
                  <c:v>0.162834748625755</c:v>
                </c:pt>
                <c:pt idx="50" formatCode="0.000">
                  <c:v>0.13878118991851801</c:v>
                </c:pt>
                <c:pt idx="51" formatCode="0.000">
                  <c:v>0.122496925294399</c:v>
                </c:pt>
                <c:pt idx="52" formatCode="0.000">
                  <c:v>0.118564888834953</c:v>
                </c:pt>
                <c:pt idx="53" formatCode="0.000">
                  <c:v>0.118880815804004</c:v>
                </c:pt>
                <c:pt idx="54" formatCode="0.000">
                  <c:v>0.117890156805515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65-4416-9E43-9BFF35F2CC78}"/>
            </c:ext>
          </c:extLst>
        </c:ser>
        <c:ser>
          <c:idx val="1"/>
          <c:order val="1"/>
          <c:spPr>
            <a:solidFill>
              <a:schemeClr val="accent5">
                <a:tint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NWT_LSTM_factor!$B$13:$B$72</c15:sqref>
                  </c15:fullRef>
                </c:ext>
              </c:extLst>
              <c:f>(NWT_LSTM_factor!$B$13,NWT_LSTM_factor!$B$15:$B$25,NWT_LSTM_factor!$B$27:$B$37,NWT_LSTM_factor!$B$39:$B$49,NWT_LSTM_factor!$B$51:$B$61,NWT_LSTM_factor!$B$63:$B$72)</c:f>
              <c:strCache>
                <c:ptCount val="55"/>
                <c:pt idx="0">
                  <c:v>Λ=1.0</c:v>
                </c:pt>
                <c:pt idx="1">
                  <c:v>p16</c:v>
                </c:pt>
                <c:pt idx="2">
                  <c:v>p17</c:v>
                </c:pt>
                <c:pt idx="3">
                  <c:v>p18</c:v>
                </c:pt>
                <c:pt idx="4">
                  <c:v>p19</c:v>
                </c:pt>
                <c:pt idx="5">
                  <c:v>p20</c:v>
                </c:pt>
                <c:pt idx="6">
                  <c:v>p21</c:v>
                </c:pt>
                <c:pt idx="7">
                  <c:v>p22</c:v>
                </c:pt>
                <c:pt idx="8">
                  <c:v>p23</c:v>
                </c:pt>
                <c:pt idx="9">
                  <c:v>p24</c:v>
                </c:pt>
                <c:pt idx="10">
                  <c:v>p25</c:v>
                </c:pt>
                <c:pt idx="11">
                  <c:v>Λ=0.75</c:v>
                </c:pt>
                <c:pt idx="12">
                  <c:v>p16</c:v>
                </c:pt>
                <c:pt idx="13">
                  <c:v>p17</c:v>
                </c:pt>
                <c:pt idx="14">
                  <c:v>p18</c:v>
                </c:pt>
                <c:pt idx="15">
                  <c:v>p19</c:v>
                </c:pt>
                <c:pt idx="16">
                  <c:v>p20</c:v>
                </c:pt>
                <c:pt idx="17">
                  <c:v>p21</c:v>
                </c:pt>
                <c:pt idx="18">
                  <c:v>p22</c:v>
                </c:pt>
                <c:pt idx="19">
                  <c:v>p23</c:v>
                </c:pt>
                <c:pt idx="20">
                  <c:v>p24</c:v>
                </c:pt>
                <c:pt idx="21">
                  <c:v>p25</c:v>
                </c:pt>
                <c:pt idx="22">
                  <c:v>Λ=0.5</c:v>
                </c:pt>
                <c:pt idx="23">
                  <c:v>p16</c:v>
                </c:pt>
                <c:pt idx="24">
                  <c:v>p17</c:v>
                </c:pt>
                <c:pt idx="25">
                  <c:v>p18</c:v>
                </c:pt>
                <c:pt idx="26">
                  <c:v>p19</c:v>
                </c:pt>
                <c:pt idx="27">
                  <c:v>p20</c:v>
                </c:pt>
                <c:pt idx="28">
                  <c:v>p21</c:v>
                </c:pt>
                <c:pt idx="29">
                  <c:v>p22</c:v>
                </c:pt>
                <c:pt idx="30">
                  <c:v>p23</c:v>
                </c:pt>
                <c:pt idx="31">
                  <c:v>p24</c:v>
                </c:pt>
                <c:pt idx="32">
                  <c:v>p25</c:v>
                </c:pt>
                <c:pt idx="33">
                  <c:v>Λ=0.25</c:v>
                </c:pt>
                <c:pt idx="34">
                  <c:v>p16</c:v>
                </c:pt>
                <c:pt idx="35">
                  <c:v>p17</c:v>
                </c:pt>
                <c:pt idx="36">
                  <c:v>p18</c:v>
                </c:pt>
                <c:pt idx="37">
                  <c:v>p19</c:v>
                </c:pt>
                <c:pt idx="38">
                  <c:v>p20</c:v>
                </c:pt>
                <c:pt idx="39">
                  <c:v>p21</c:v>
                </c:pt>
                <c:pt idx="40">
                  <c:v>p22</c:v>
                </c:pt>
                <c:pt idx="41">
                  <c:v>p23</c:v>
                </c:pt>
                <c:pt idx="42">
                  <c:v>p24</c:v>
                </c:pt>
                <c:pt idx="43">
                  <c:v>p25</c:v>
                </c:pt>
                <c:pt idx="44">
                  <c:v>Λ=0.0</c:v>
                </c:pt>
                <c:pt idx="45">
                  <c:v>p16</c:v>
                </c:pt>
                <c:pt idx="46">
                  <c:v>p17</c:v>
                </c:pt>
                <c:pt idx="47">
                  <c:v>p18</c:v>
                </c:pt>
                <c:pt idx="48">
                  <c:v>p19</c:v>
                </c:pt>
                <c:pt idx="49">
                  <c:v>p20</c:v>
                </c:pt>
                <c:pt idx="50">
                  <c:v>p21</c:v>
                </c:pt>
                <c:pt idx="51">
                  <c:v>p22</c:v>
                </c:pt>
                <c:pt idx="52">
                  <c:v>p23</c:v>
                </c:pt>
                <c:pt idx="53">
                  <c:v>p24</c:v>
                </c:pt>
                <c:pt idx="54">
                  <c:v>p25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NWT_LSTM_factor!$D$13:$D$72</c15:sqref>
                  </c15:fullRef>
                </c:ext>
              </c:extLst>
              <c:f>(NWT_LSTM_factor!$D$13,NWT_LSTM_factor!$D$15:$D$25,NWT_LSTM_factor!$D$27:$D$37,NWT_LSTM_factor!$D$39:$D$49,NWT_LSTM_factor!$D$51:$D$61,NWT_LSTM_factor!$D$63:$D$72)</c:f>
              <c:numCache>
                <c:formatCode>General</c:formatCode>
                <c:ptCount val="55"/>
                <c:pt idx="1" formatCode="0.000">
                  <c:v>5.9393939971923801</c:v>
                </c:pt>
                <c:pt idx="2" formatCode="0.000">
                  <c:v>3.7650372982025102</c:v>
                </c:pt>
                <c:pt idx="3" formatCode="0.000">
                  <c:v>3.72147369384765</c:v>
                </c:pt>
                <c:pt idx="4" formatCode="0.000">
                  <c:v>1.29285681247711</c:v>
                </c:pt>
                <c:pt idx="5" formatCode="0.000">
                  <c:v>0.90321421623229903</c:v>
                </c:pt>
                <c:pt idx="6" formatCode="0.000">
                  <c:v>0.73103874921798695</c:v>
                </c:pt>
                <c:pt idx="7" formatCode="0.000">
                  <c:v>0.94089961051940896</c:v>
                </c:pt>
                <c:pt idx="8" formatCode="0.000">
                  <c:v>0.75770562887191695</c:v>
                </c:pt>
                <c:pt idx="9" formatCode="0.000">
                  <c:v>0.77464586496353105</c:v>
                </c:pt>
                <c:pt idx="10" formatCode="0.000">
                  <c:v>1.3815779685974099</c:v>
                </c:pt>
                <c:pt idx="12" formatCode="0.000">
                  <c:v>1.5571893453598</c:v>
                </c:pt>
                <c:pt idx="13" formatCode="0.000">
                  <c:v>1.2941688299178999</c:v>
                </c:pt>
                <c:pt idx="14" formatCode="0.000">
                  <c:v>1.2691837549209499</c:v>
                </c:pt>
                <c:pt idx="15" formatCode="0.000">
                  <c:v>0.51293444633483798</c:v>
                </c:pt>
                <c:pt idx="16" formatCode="0.000">
                  <c:v>0.48688238859176602</c:v>
                </c:pt>
                <c:pt idx="17" formatCode="0.000">
                  <c:v>0.37475517392158503</c:v>
                </c:pt>
                <c:pt idx="18" formatCode="0.000">
                  <c:v>0.40196415781974698</c:v>
                </c:pt>
                <c:pt idx="19" formatCode="0.000">
                  <c:v>0.35398378968238797</c:v>
                </c:pt>
                <c:pt idx="20" formatCode="0.000">
                  <c:v>0.38153868913650502</c:v>
                </c:pt>
                <c:pt idx="21" formatCode="0.000">
                  <c:v>0.43968576192855802</c:v>
                </c:pt>
                <c:pt idx="23" formatCode="0.000">
                  <c:v>0.370610893</c:v>
                </c:pt>
                <c:pt idx="24" formatCode="0.000">
                  <c:v>0.33944782600000001</c:v>
                </c:pt>
                <c:pt idx="25" formatCode="0.000">
                  <c:v>0.32581883699999997</c:v>
                </c:pt>
                <c:pt idx="26" formatCode="0.000">
                  <c:v>0.30159348200000002</c:v>
                </c:pt>
                <c:pt idx="27" formatCode="0.000">
                  <c:v>0.28697299999999998</c:v>
                </c:pt>
                <c:pt idx="28" formatCode="0.000">
                  <c:v>0.26553934800000001</c:v>
                </c:pt>
                <c:pt idx="29" formatCode="0.000">
                  <c:v>0.24933516999999999</c:v>
                </c:pt>
                <c:pt idx="30" formatCode="0.000">
                  <c:v>0.24464166200000001</c:v>
                </c:pt>
                <c:pt idx="31" formatCode="0.000">
                  <c:v>0.24515986400000001</c:v>
                </c:pt>
                <c:pt idx="32" formatCode="0.000">
                  <c:v>0.24370102599999999</c:v>
                </c:pt>
                <c:pt idx="34">
                  <c:v>0.43919071555137601</c:v>
                </c:pt>
                <c:pt idx="35">
                  <c:v>0.37077978253364502</c:v>
                </c:pt>
                <c:pt idx="36">
                  <c:v>0.354264616966247</c:v>
                </c:pt>
                <c:pt idx="37">
                  <c:v>0.33141142129897999</c:v>
                </c:pt>
                <c:pt idx="38">
                  <c:v>0.305032819509506</c:v>
                </c:pt>
                <c:pt idx="39">
                  <c:v>0.29045462608337402</c:v>
                </c:pt>
                <c:pt idx="40">
                  <c:v>0.27843284606933499</c:v>
                </c:pt>
                <c:pt idx="41">
                  <c:v>0.26963445544242798</c:v>
                </c:pt>
                <c:pt idx="42">
                  <c:v>0.26806968450546198</c:v>
                </c:pt>
                <c:pt idx="43">
                  <c:v>0.28246501088142301</c:v>
                </c:pt>
                <c:pt idx="45" formatCode="0.000">
                  <c:v>0.36382037401199302</c:v>
                </c:pt>
                <c:pt idx="46" formatCode="0.000">
                  <c:v>0.33200874924659701</c:v>
                </c:pt>
                <c:pt idx="47" formatCode="0.000">
                  <c:v>0.318383008241653</c:v>
                </c:pt>
                <c:pt idx="48" formatCode="0.000">
                  <c:v>0.29057478904724099</c:v>
                </c:pt>
                <c:pt idx="49" formatCode="0.000">
                  <c:v>0.27828323841094899</c:v>
                </c:pt>
                <c:pt idx="50" formatCode="0.000">
                  <c:v>0.25960284471511802</c:v>
                </c:pt>
                <c:pt idx="51" formatCode="0.000">
                  <c:v>0.247472614049911</c:v>
                </c:pt>
                <c:pt idx="52" formatCode="0.000">
                  <c:v>0.24156846106052399</c:v>
                </c:pt>
                <c:pt idx="53" formatCode="0.000">
                  <c:v>0.24171119928359899</c:v>
                </c:pt>
                <c:pt idx="54" formatCode="0.000">
                  <c:v>0.23946288228034901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65-4416-9E43-9BFF35F2CC78}"/>
            </c:ext>
          </c:extLst>
        </c:ser>
        <c:ser>
          <c:idx val="2"/>
          <c:order val="2"/>
          <c:spPr>
            <a:solidFill>
              <a:schemeClr val="accent5">
                <a:shade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NWT_LSTM_factor!$B$13:$B$72</c15:sqref>
                  </c15:fullRef>
                </c:ext>
              </c:extLst>
              <c:f>(NWT_LSTM_factor!$B$13,NWT_LSTM_factor!$B$15:$B$25,NWT_LSTM_factor!$B$27:$B$37,NWT_LSTM_factor!$B$39:$B$49,NWT_LSTM_factor!$B$51:$B$61,NWT_LSTM_factor!$B$63:$B$72)</c:f>
              <c:strCache>
                <c:ptCount val="55"/>
                <c:pt idx="0">
                  <c:v>Λ=1.0</c:v>
                </c:pt>
                <c:pt idx="1">
                  <c:v>p16</c:v>
                </c:pt>
                <c:pt idx="2">
                  <c:v>p17</c:v>
                </c:pt>
                <c:pt idx="3">
                  <c:v>p18</c:v>
                </c:pt>
                <c:pt idx="4">
                  <c:v>p19</c:v>
                </c:pt>
                <c:pt idx="5">
                  <c:v>p20</c:v>
                </c:pt>
                <c:pt idx="6">
                  <c:v>p21</c:v>
                </c:pt>
                <c:pt idx="7">
                  <c:v>p22</c:v>
                </c:pt>
                <c:pt idx="8">
                  <c:v>p23</c:v>
                </c:pt>
                <c:pt idx="9">
                  <c:v>p24</c:v>
                </c:pt>
                <c:pt idx="10">
                  <c:v>p25</c:v>
                </c:pt>
                <c:pt idx="11">
                  <c:v>Λ=0.75</c:v>
                </c:pt>
                <c:pt idx="12">
                  <c:v>p16</c:v>
                </c:pt>
                <c:pt idx="13">
                  <c:v>p17</c:v>
                </c:pt>
                <c:pt idx="14">
                  <c:v>p18</c:v>
                </c:pt>
                <c:pt idx="15">
                  <c:v>p19</c:v>
                </c:pt>
                <c:pt idx="16">
                  <c:v>p20</c:v>
                </c:pt>
                <c:pt idx="17">
                  <c:v>p21</c:v>
                </c:pt>
                <c:pt idx="18">
                  <c:v>p22</c:v>
                </c:pt>
                <c:pt idx="19">
                  <c:v>p23</c:v>
                </c:pt>
                <c:pt idx="20">
                  <c:v>p24</c:v>
                </c:pt>
                <c:pt idx="21">
                  <c:v>p25</c:v>
                </c:pt>
                <c:pt idx="22">
                  <c:v>Λ=0.5</c:v>
                </c:pt>
                <c:pt idx="23">
                  <c:v>p16</c:v>
                </c:pt>
                <c:pt idx="24">
                  <c:v>p17</c:v>
                </c:pt>
                <c:pt idx="25">
                  <c:v>p18</c:v>
                </c:pt>
                <c:pt idx="26">
                  <c:v>p19</c:v>
                </c:pt>
                <c:pt idx="27">
                  <c:v>p20</c:v>
                </c:pt>
                <c:pt idx="28">
                  <c:v>p21</c:v>
                </c:pt>
                <c:pt idx="29">
                  <c:v>p22</c:v>
                </c:pt>
                <c:pt idx="30">
                  <c:v>p23</c:v>
                </c:pt>
                <c:pt idx="31">
                  <c:v>p24</c:v>
                </c:pt>
                <c:pt idx="32">
                  <c:v>p25</c:v>
                </c:pt>
                <c:pt idx="33">
                  <c:v>Λ=0.25</c:v>
                </c:pt>
                <c:pt idx="34">
                  <c:v>p16</c:v>
                </c:pt>
                <c:pt idx="35">
                  <c:v>p17</c:v>
                </c:pt>
                <c:pt idx="36">
                  <c:v>p18</c:v>
                </c:pt>
                <c:pt idx="37">
                  <c:v>p19</c:v>
                </c:pt>
                <c:pt idx="38">
                  <c:v>p20</c:v>
                </c:pt>
                <c:pt idx="39">
                  <c:v>p21</c:v>
                </c:pt>
                <c:pt idx="40">
                  <c:v>p22</c:v>
                </c:pt>
                <c:pt idx="41">
                  <c:v>p23</c:v>
                </c:pt>
                <c:pt idx="42">
                  <c:v>p24</c:v>
                </c:pt>
                <c:pt idx="43">
                  <c:v>p25</c:v>
                </c:pt>
                <c:pt idx="44">
                  <c:v>Λ=0.0</c:v>
                </c:pt>
                <c:pt idx="45">
                  <c:v>p16</c:v>
                </c:pt>
                <c:pt idx="46">
                  <c:v>p17</c:v>
                </c:pt>
                <c:pt idx="47">
                  <c:v>p18</c:v>
                </c:pt>
                <c:pt idx="48">
                  <c:v>p19</c:v>
                </c:pt>
                <c:pt idx="49">
                  <c:v>p20</c:v>
                </c:pt>
                <c:pt idx="50">
                  <c:v>p21</c:v>
                </c:pt>
                <c:pt idx="51">
                  <c:v>p22</c:v>
                </c:pt>
                <c:pt idx="52">
                  <c:v>p23</c:v>
                </c:pt>
                <c:pt idx="53">
                  <c:v>p24</c:v>
                </c:pt>
                <c:pt idx="54">
                  <c:v>p25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NWT_LSTM_factor!$E$13:$E$72</c15:sqref>
                  </c15:fullRef>
                </c:ext>
              </c:extLst>
              <c:f>(NWT_LSTM_factor!$E$13,NWT_LSTM_factor!$E$15:$E$25,NWT_LSTM_factor!$E$27:$E$37,NWT_LSTM_factor!$E$39:$E$49,NWT_LSTM_factor!$E$51:$E$61,NWT_LSTM_factor!$E$63:$E$72)</c:f>
              <c:numCache>
                <c:formatCode>General</c:formatCode>
                <c:ptCount val="55"/>
                <c:pt idx="1" formatCode="0.000">
                  <c:v>8.0883722305297798</c:v>
                </c:pt>
                <c:pt idx="2" formatCode="0.000">
                  <c:v>5.4776058197021396</c:v>
                </c:pt>
                <c:pt idx="3" formatCode="0.000">
                  <c:v>5.0899796485900799</c:v>
                </c:pt>
                <c:pt idx="4" formatCode="0.000">
                  <c:v>1.74140441417694</c:v>
                </c:pt>
                <c:pt idx="5" formatCode="0.000">
                  <c:v>1.2656401395797701</c:v>
                </c:pt>
                <c:pt idx="6" formatCode="0.000">
                  <c:v>0.92792713642120295</c:v>
                </c:pt>
                <c:pt idx="7" formatCode="0.000">
                  <c:v>1.0987974405288601</c:v>
                </c:pt>
                <c:pt idx="8" formatCode="0.000">
                  <c:v>0.98815703392028797</c:v>
                </c:pt>
                <c:pt idx="9" formatCode="0.000">
                  <c:v>1.0309464931487999</c:v>
                </c:pt>
                <c:pt idx="10" formatCode="0.000">
                  <c:v>1.6509157419204701</c:v>
                </c:pt>
                <c:pt idx="12" formatCode="0.000">
                  <c:v>0.49361649155616699</c:v>
                </c:pt>
                <c:pt idx="13" formatCode="0.000">
                  <c:v>0.47572681307792603</c:v>
                </c:pt>
                <c:pt idx="14" formatCode="0.000">
                  <c:v>0.46337041258811901</c:v>
                </c:pt>
                <c:pt idx="15" formatCode="0.000">
                  <c:v>0.44053179025650002</c:v>
                </c:pt>
                <c:pt idx="16" formatCode="0.000">
                  <c:v>0.428979963064193</c:v>
                </c:pt>
                <c:pt idx="17" formatCode="0.000">
                  <c:v>0.406731247901916</c:v>
                </c:pt>
                <c:pt idx="18" formatCode="0.000">
                  <c:v>0.39757019281387301</c:v>
                </c:pt>
                <c:pt idx="19" formatCode="0.000">
                  <c:v>0.37708702683448703</c:v>
                </c:pt>
                <c:pt idx="20" formatCode="0.000">
                  <c:v>0.37762066721916199</c:v>
                </c:pt>
                <c:pt idx="21" formatCode="0.000">
                  <c:v>0.37643206119537298</c:v>
                </c:pt>
                <c:pt idx="23" formatCode="0.000">
                  <c:v>0.46928814099999999</c:v>
                </c:pt>
                <c:pt idx="24" formatCode="0.000">
                  <c:v>0.44939518000000001</c:v>
                </c:pt>
                <c:pt idx="25" formatCode="0.000">
                  <c:v>0.439915687</c:v>
                </c:pt>
                <c:pt idx="26" formatCode="0.000">
                  <c:v>0.42104744900000002</c:v>
                </c:pt>
                <c:pt idx="27" formatCode="0.000">
                  <c:v>0.416715324</c:v>
                </c:pt>
                <c:pt idx="28" formatCode="0.000">
                  <c:v>0.40064957699999998</c:v>
                </c:pt>
                <c:pt idx="29" formatCode="0.000">
                  <c:v>0.392502517</c:v>
                </c:pt>
                <c:pt idx="30" formatCode="0.000">
                  <c:v>0.38461804399999999</c:v>
                </c:pt>
                <c:pt idx="31" formatCode="0.000">
                  <c:v>0.385174036</c:v>
                </c:pt>
                <c:pt idx="32" formatCode="0.000">
                  <c:v>0.38348826800000002</c:v>
                </c:pt>
                <c:pt idx="34">
                  <c:v>0.48094341158866799</c:v>
                </c:pt>
                <c:pt idx="35">
                  <c:v>0.464430391788482</c:v>
                </c:pt>
                <c:pt idx="36">
                  <c:v>0.458781778812408</c:v>
                </c:pt>
                <c:pt idx="37">
                  <c:v>0.437376469373703</c:v>
                </c:pt>
                <c:pt idx="38">
                  <c:v>0.42472693324089</c:v>
                </c:pt>
                <c:pt idx="39">
                  <c:v>0.41116636991500799</c:v>
                </c:pt>
                <c:pt idx="40">
                  <c:v>0.401002287864685</c:v>
                </c:pt>
                <c:pt idx="41">
                  <c:v>0.39489075541496199</c:v>
                </c:pt>
                <c:pt idx="42">
                  <c:v>0.39612081646919201</c:v>
                </c:pt>
                <c:pt idx="43">
                  <c:v>0.393248051404953</c:v>
                </c:pt>
                <c:pt idx="45" formatCode="0.000">
                  <c:v>0.494205951690673</c:v>
                </c:pt>
                <c:pt idx="46" formatCode="0.000">
                  <c:v>0.474079400300979</c:v>
                </c:pt>
                <c:pt idx="47" formatCode="0.000">
                  <c:v>0.467355877161026</c:v>
                </c:pt>
                <c:pt idx="48" formatCode="0.000">
                  <c:v>0.44592031836509699</c:v>
                </c:pt>
                <c:pt idx="49" formatCode="0.000">
                  <c:v>0.43857946991920399</c:v>
                </c:pt>
                <c:pt idx="50" formatCode="0.000">
                  <c:v>0.42409878969192499</c:v>
                </c:pt>
                <c:pt idx="51" formatCode="0.000">
                  <c:v>0.41256707906723</c:v>
                </c:pt>
                <c:pt idx="52" formatCode="0.000">
                  <c:v>0.40130293369293202</c:v>
                </c:pt>
                <c:pt idx="53" formatCode="0.000">
                  <c:v>0.40162569284438998</c:v>
                </c:pt>
                <c:pt idx="54" formatCode="0.000">
                  <c:v>0.399296194314956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65-4416-9E43-9BFF35F2CC78}"/>
            </c:ext>
          </c:extLst>
        </c:ser>
        <c:ser>
          <c:idx val="3"/>
          <c:order val="3"/>
          <c:spPr>
            <a:solidFill>
              <a:schemeClr val="accent5">
                <a:shade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NWT_LSTM_factor!$B$13:$B$72</c15:sqref>
                  </c15:fullRef>
                </c:ext>
              </c:extLst>
              <c:f>(NWT_LSTM_factor!$B$13,NWT_LSTM_factor!$B$15:$B$25,NWT_LSTM_factor!$B$27:$B$37,NWT_LSTM_factor!$B$39:$B$49,NWT_LSTM_factor!$B$51:$B$61,NWT_LSTM_factor!$B$63:$B$72)</c:f>
              <c:strCache>
                <c:ptCount val="55"/>
                <c:pt idx="0">
                  <c:v>Λ=1.0</c:v>
                </c:pt>
                <c:pt idx="1">
                  <c:v>p16</c:v>
                </c:pt>
                <c:pt idx="2">
                  <c:v>p17</c:v>
                </c:pt>
                <c:pt idx="3">
                  <c:v>p18</c:v>
                </c:pt>
                <c:pt idx="4">
                  <c:v>p19</c:v>
                </c:pt>
                <c:pt idx="5">
                  <c:v>p20</c:v>
                </c:pt>
                <c:pt idx="6">
                  <c:v>p21</c:v>
                </c:pt>
                <c:pt idx="7">
                  <c:v>p22</c:v>
                </c:pt>
                <c:pt idx="8">
                  <c:v>p23</c:v>
                </c:pt>
                <c:pt idx="9">
                  <c:v>p24</c:v>
                </c:pt>
                <c:pt idx="10">
                  <c:v>p25</c:v>
                </c:pt>
                <c:pt idx="11">
                  <c:v>Λ=0.75</c:v>
                </c:pt>
                <c:pt idx="12">
                  <c:v>p16</c:v>
                </c:pt>
                <c:pt idx="13">
                  <c:v>p17</c:v>
                </c:pt>
                <c:pt idx="14">
                  <c:v>p18</c:v>
                </c:pt>
                <c:pt idx="15">
                  <c:v>p19</c:v>
                </c:pt>
                <c:pt idx="16">
                  <c:v>p20</c:v>
                </c:pt>
                <c:pt idx="17">
                  <c:v>p21</c:v>
                </c:pt>
                <c:pt idx="18">
                  <c:v>p22</c:v>
                </c:pt>
                <c:pt idx="19">
                  <c:v>p23</c:v>
                </c:pt>
                <c:pt idx="20">
                  <c:v>p24</c:v>
                </c:pt>
                <c:pt idx="21">
                  <c:v>p25</c:v>
                </c:pt>
                <c:pt idx="22">
                  <c:v>Λ=0.5</c:v>
                </c:pt>
                <c:pt idx="23">
                  <c:v>p16</c:v>
                </c:pt>
                <c:pt idx="24">
                  <c:v>p17</c:v>
                </c:pt>
                <c:pt idx="25">
                  <c:v>p18</c:v>
                </c:pt>
                <c:pt idx="26">
                  <c:v>p19</c:v>
                </c:pt>
                <c:pt idx="27">
                  <c:v>p20</c:v>
                </c:pt>
                <c:pt idx="28">
                  <c:v>p21</c:v>
                </c:pt>
                <c:pt idx="29">
                  <c:v>p22</c:v>
                </c:pt>
                <c:pt idx="30">
                  <c:v>p23</c:v>
                </c:pt>
                <c:pt idx="31">
                  <c:v>p24</c:v>
                </c:pt>
                <c:pt idx="32">
                  <c:v>p25</c:v>
                </c:pt>
                <c:pt idx="33">
                  <c:v>Λ=0.25</c:v>
                </c:pt>
                <c:pt idx="34">
                  <c:v>p16</c:v>
                </c:pt>
                <c:pt idx="35">
                  <c:v>p17</c:v>
                </c:pt>
                <c:pt idx="36">
                  <c:v>p18</c:v>
                </c:pt>
                <c:pt idx="37">
                  <c:v>p19</c:v>
                </c:pt>
                <c:pt idx="38">
                  <c:v>p20</c:v>
                </c:pt>
                <c:pt idx="39">
                  <c:v>p21</c:v>
                </c:pt>
                <c:pt idx="40">
                  <c:v>p22</c:v>
                </c:pt>
                <c:pt idx="41">
                  <c:v>p23</c:v>
                </c:pt>
                <c:pt idx="42">
                  <c:v>p24</c:v>
                </c:pt>
                <c:pt idx="43">
                  <c:v>p25</c:v>
                </c:pt>
                <c:pt idx="44">
                  <c:v>Λ=0.0</c:v>
                </c:pt>
                <c:pt idx="45">
                  <c:v>p16</c:v>
                </c:pt>
                <c:pt idx="46">
                  <c:v>p17</c:v>
                </c:pt>
                <c:pt idx="47">
                  <c:v>p18</c:v>
                </c:pt>
                <c:pt idx="48">
                  <c:v>p19</c:v>
                </c:pt>
                <c:pt idx="49">
                  <c:v>p20</c:v>
                </c:pt>
                <c:pt idx="50">
                  <c:v>p21</c:v>
                </c:pt>
                <c:pt idx="51">
                  <c:v>p22</c:v>
                </c:pt>
                <c:pt idx="52">
                  <c:v>p23</c:v>
                </c:pt>
                <c:pt idx="53">
                  <c:v>p24</c:v>
                </c:pt>
                <c:pt idx="54">
                  <c:v>p25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NWT_LSTM_factor!$F$13:$F$72</c15:sqref>
                  </c15:fullRef>
                </c:ext>
              </c:extLst>
              <c:f>(NWT_LSTM_factor!$F$13,NWT_LSTM_factor!$F$15:$F$25,NWT_LSTM_factor!$F$27:$F$37,NWT_LSTM_factor!$F$39:$F$49,NWT_LSTM_factor!$F$51:$F$61,NWT_LSTM_factor!$F$63:$F$72)</c:f>
              <c:numCache>
                <c:formatCode>General</c:formatCode>
                <c:ptCount val="55"/>
                <c:pt idx="1" formatCode="0.000">
                  <c:v>4.9448685646057102</c:v>
                </c:pt>
                <c:pt idx="2" formatCode="0.000">
                  <c:v>3.2455987930297798</c:v>
                </c:pt>
                <c:pt idx="3" formatCode="0.000">
                  <c:v>2.8935229778289702</c:v>
                </c:pt>
                <c:pt idx="4" formatCode="0.000">
                  <c:v>1.32433974742889</c:v>
                </c:pt>
                <c:pt idx="5" formatCode="0.000">
                  <c:v>1.0331237316131501</c:v>
                </c:pt>
                <c:pt idx="6" formatCode="0.000">
                  <c:v>0.88374829292297297</c:v>
                </c:pt>
                <c:pt idx="7" formatCode="0.000">
                  <c:v>0.89421093463897705</c:v>
                </c:pt>
                <c:pt idx="8" formatCode="0.000">
                  <c:v>0.78274136781692505</c:v>
                </c:pt>
                <c:pt idx="9" formatCode="0.000">
                  <c:v>0.81303030252456598</c:v>
                </c:pt>
                <c:pt idx="10" formatCode="0.000">
                  <c:v>1.2023682594299301</c:v>
                </c:pt>
                <c:pt idx="12" formatCode="0.000">
                  <c:v>0.564980328083038</c:v>
                </c:pt>
                <c:pt idx="13" formatCode="0.000">
                  <c:v>0.547185719013214</c:v>
                </c:pt>
                <c:pt idx="14" formatCode="0.000">
                  <c:v>0.53766113519668501</c:v>
                </c:pt>
                <c:pt idx="15" formatCode="0.000">
                  <c:v>0.51936548948287897</c:v>
                </c:pt>
                <c:pt idx="16" formatCode="0.000">
                  <c:v>0.51368212699890103</c:v>
                </c:pt>
                <c:pt idx="17" formatCode="0.000">
                  <c:v>0.50247573852538996</c:v>
                </c:pt>
                <c:pt idx="18" formatCode="0.000">
                  <c:v>0.493893802165985</c:v>
                </c:pt>
                <c:pt idx="19" formatCode="0.000">
                  <c:v>0.48994392156600902</c:v>
                </c:pt>
                <c:pt idx="20" formatCode="0.000">
                  <c:v>0.48968115448951699</c:v>
                </c:pt>
                <c:pt idx="21" formatCode="0.000">
                  <c:v>0.49201038479804898</c:v>
                </c:pt>
                <c:pt idx="23" formatCode="0.000">
                  <c:v>0.54046618899999999</c:v>
                </c:pt>
                <c:pt idx="24" formatCode="0.000">
                  <c:v>0.52772086900000004</c:v>
                </c:pt>
                <c:pt idx="25" formatCode="0.000">
                  <c:v>0.52378499499999998</c:v>
                </c:pt>
                <c:pt idx="26" formatCode="0.000">
                  <c:v>0.51325720500000005</c:v>
                </c:pt>
                <c:pt idx="27" formatCode="0.000">
                  <c:v>0.50762629500000001</c:v>
                </c:pt>
                <c:pt idx="28" formatCode="0.000">
                  <c:v>0.50336527799999997</c:v>
                </c:pt>
                <c:pt idx="29" formatCode="0.000">
                  <c:v>0.49984589200000001</c:v>
                </c:pt>
                <c:pt idx="30" formatCode="0.000">
                  <c:v>0.49401018000000002</c:v>
                </c:pt>
                <c:pt idx="31" formatCode="0.000">
                  <c:v>0.49429669999999998</c:v>
                </c:pt>
                <c:pt idx="32" formatCode="0.000">
                  <c:v>0.49646601099999998</c:v>
                </c:pt>
                <c:pt idx="34">
                  <c:v>0.56641906499862604</c:v>
                </c:pt>
                <c:pt idx="35">
                  <c:v>0.54914277791976895</c:v>
                </c:pt>
                <c:pt idx="36">
                  <c:v>0.54084753990173295</c:v>
                </c:pt>
                <c:pt idx="37">
                  <c:v>0.52798992395401001</c:v>
                </c:pt>
                <c:pt idx="38">
                  <c:v>0.52187353372573797</c:v>
                </c:pt>
                <c:pt idx="39">
                  <c:v>0.51401382684707597</c:v>
                </c:pt>
                <c:pt idx="40">
                  <c:v>0.51514327526092496</c:v>
                </c:pt>
                <c:pt idx="41">
                  <c:v>0.51297152042388905</c:v>
                </c:pt>
                <c:pt idx="42">
                  <c:v>0.51335310935974099</c:v>
                </c:pt>
                <c:pt idx="43">
                  <c:v>0.51391404867172197</c:v>
                </c:pt>
                <c:pt idx="45" formatCode="0.000">
                  <c:v>0.55866557359695401</c:v>
                </c:pt>
                <c:pt idx="46" formatCode="0.000">
                  <c:v>0.54391020536422696</c:v>
                </c:pt>
                <c:pt idx="47" formatCode="0.000">
                  <c:v>0.53917318582534701</c:v>
                </c:pt>
                <c:pt idx="48" formatCode="0.000">
                  <c:v>0.53005999326705899</c:v>
                </c:pt>
                <c:pt idx="49" formatCode="0.000">
                  <c:v>0.52790868282318104</c:v>
                </c:pt>
                <c:pt idx="50" formatCode="0.000">
                  <c:v>0.51678901910781805</c:v>
                </c:pt>
                <c:pt idx="51" formatCode="0.000">
                  <c:v>0.51719731092453003</c:v>
                </c:pt>
                <c:pt idx="52" formatCode="0.000">
                  <c:v>0.51193130016326904</c:v>
                </c:pt>
                <c:pt idx="53" formatCode="0.000">
                  <c:v>0.512864649295806</c:v>
                </c:pt>
                <c:pt idx="54" formatCode="0.000">
                  <c:v>0.51525521278381303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F65-4416-9E43-9BFF35F2CC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114592"/>
        <c:axId val="1548904272"/>
      </c:barChart>
      <c:catAx>
        <c:axId val="191145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48904272"/>
        <c:crosses val="autoZero"/>
        <c:auto val="1"/>
        <c:lblAlgn val="ctr"/>
        <c:lblOffset val="100"/>
        <c:noMultiLvlLbl val="0"/>
      </c:catAx>
      <c:valAx>
        <c:axId val="1548904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14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85000"/>
          <a:lumOff val="1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</xdr:colOff>
      <xdr:row>0</xdr:row>
      <xdr:rowOff>0</xdr:rowOff>
    </xdr:from>
    <xdr:to>
      <xdr:col>20</xdr:col>
      <xdr:colOff>1</xdr:colOff>
      <xdr:row>14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EF93BE-0F10-8A52-BB72-823084A187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608670</xdr:colOff>
      <xdr:row>0</xdr:row>
      <xdr:rowOff>0</xdr:rowOff>
    </xdr:from>
    <xdr:to>
      <xdr:col>26</xdr:col>
      <xdr:colOff>608670</xdr:colOff>
      <xdr:row>14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EB9EF2B-1310-4B62-A04F-7361DC383C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609600</xdr:colOff>
      <xdr:row>2</xdr:row>
      <xdr:rowOff>1</xdr:rowOff>
    </xdr:from>
    <xdr:to>
      <xdr:col>17</xdr:col>
      <xdr:colOff>609600</xdr:colOff>
      <xdr:row>33</xdr:row>
      <xdr:rowOff>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B817F13-4C55-399A-2918-77955CCF76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0</xdr:colOff>
      <xdr:row>13</xdr:row>
      <xdr:rowOff>190499</xdr:rowOff>
    </xdr:from>
    <xdr:to>
      <xdr:col>30</xdr:col>
      <xdr:colOff>0</xdr:colOff>
      <xdr:row>33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DDE0B09-04CF-AB39-7FFF-6B261C8806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udy Alkarem" id="{E300A2D6-2990-422F-8446-A27795D50261}" userId="Rudy Alkarem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9" dT="2025-05-26T12:24:35.74" personId="{E300A2D6-2990-422F-8446-A27795D50261}" id="{53D3B6E1-8688-4635-A712-04B5E9075599}">
    <text xml:space="preserve">Honestly, the mean is off only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A9F0E-87CF-41A1-B6CB-DF7ECC272402}">
  <dimension ref="A1:H10"/>
  <sheetViews>
    <sheetView zoomScale="280" zoomScaleNormal="280" workbookViewId="0">
      <selection activeCell="D13" sqref="D13"/>
    </sheetView>
  </sheetViews>
  <sheetFormatPr defaultRowHeight="15" x14ac:dyDescent="0.25"/>
  <sheetData>
    <row r="1" spans="1:8" x14ac:dyDescent="0.25">
      <c r="A1" s="6" t="s">
        <v>10</v>
      </c>
      <c r="B1" s="6"/>
      <c r="C1" s="6"/>
      <c r="D1" s="6"/>
      <c r="E1" s="6" t="s">
        <v>11</v>
      </c>
      <c r="F1" s="6"/>
      <c r="G1" s="6"/>
      <c r="H1" s="6"/>
    </row>
    <row r="2" spans="1:8" x14ac:dyDescent="0.25">
      <c r="A2" t="s">
        <v>0</v>
      </c>
      <c r="B2" t="s">
        <v>5</v>
      </c>
      <c r="C2" t="s">
        <v>7</v>
      </c>
      <c r="D2" t="s">
        <v>8</v>
      </c>
      <c r="E2" t="s">
        <v>0</v>
      </c>
      <c r="F2" t="s">
        <v>5</v>
      </c>
      <c r="G2" t="s">
        <v>7</v>
      </c>
      <c r="H2" t="s">
        <v>8</v>
      </c>
    </row>
    <row r="3" spans="1:8" x14ac:dyDescent="0.25">
      <c r="A3" s="6" t="s">
        <v>1</v>
      </c>
      <c r="B3" t="s">
        <v>6</v>
      </c>
      <c r="D3">
        <v>0.15</v>
      </c>
      <c r="E3" s="6" t="s">
        <v>1</v>
      </c>
      <c r="F3" t="s">
        <v>6</v>
      </c>
      <c r="H3">
        <v>0.15</v>
      </c>
    </row>
    <row r="4" spans="1:8" x14ac:dyDescent="0.25">
      <c r="A4" s="6"/>
      <c r="B4" t="s">
        <v>9</v>
      </c>
      <c r="C4">
        <v>0.25</v>
      </c>
      <c r="E4" s="6"/>
      <c r="F4" t="s">
        <v>9</v>
      </c>
      <c r="H4">
        <v>0.24</v>
      </c>
    </row>
    <row r="5" spans="1:8" x14ac:dyDescent="0.25">
      <c r="A5" s="6" t="s">
        <v>2</v>
      </c>
      <c r="B5" t="s">
        <v>6</v>
      </c>
      <c r="D5">
        <v>0.75</v>
      </c>
      <c r="E5" s="6" t="s">
        <v>2</v>
      </c>
      <c r="F5" t="s">
        <v>6</v>
      </c>
      <c r="H5">
        <v>0.67</v>
      </c>
    </row>
    <row r="6" spans="1:8" x14ac:dyDescent="0.25">
      <c r="A6" s="6"/>
      <c r="B6" t="s">
        <v>9</v>
      </c>
      <c r="C6">
        <v>0.7</v>
      </c>
      <c r="E6" s="6"/>
      <c r="F6" t="s">
        <v>9</v>
      </c>
      <c r="H6">
        <v>0.64</v>
      </c>
    </row>
    <row r="7" spans="1:8" x14ac:dyDescent="0.25">
      <c r="A7" s="6" t="s">
        <v>3</v>
      </c>
      <c r="B7" t="s">
        <v>6</v>
      </c>
      <c r="D7">
        <v>0.25</v>
      </c>
      <c r="E7" s="6" t="s">
        <v>3</v>
      </c>
      <c r="F7" t="s">
        <v>6</v>
      </c>
      <c r="H7">
        <v>0.24</v>
      </c>
    </row>
    <row r="8" spans="1:8" x14ac:dyDescent="0.25">
      <c r="A8" s="6"/>
      <c r="B8" t="s">
        <v>9</v>
      </c>
      <c r="C8">
        <v>0.25</v>
      </c>
      <c r="D8">
        <v>0.24</v>
      </c>
      <c r="E8" s="6"/>
      <c r="F8" t="s">
        <v>9</v>
      </c>
      <c r="H8">
        <v>0.24</v>
      </c>
    </row>
    <row r="9" spans="1:8" x14ac:dyDescent="0.25">
      <c r="A9" s="6" t="s">
        <v>4</v>
      </c>
      <c r="B9" t="s">
        <v>6</v>
      </c>
      <c r="D9">
        <v>2.96</v>
      </c>
      <c r="E9" s="6" t="s">
        <v>4</v>
      </c>
      <c r="F9" t="s">
        <v>6</v>
      </c>
      <c r="H9">
        <v>0.56999999999999995</v>
      </c>
    </row>
    <row r="10" spans="1:8" x14ac:dyDescent="0.25">
      <c r="A10" s="6"/>
      <c r="B10" t="s">
        <v>9</v>
      </c>
      <c r="C10">
        <v>0.25</v>
      </c>
      <c r="D10">
        <v>0.3</v>
      </c>
      <c r="E10" s="6"/>
      <c r="F10" t="s">
        <v>9</v>
      </c>
      <c r="H10">
        <v>0.3</v>
      </c>
    </row>
  </sheetData>
  <mergeCells count="10">
    <mergeCell ref="E1:H1"/>
    <mergeCell ref="E3:E4"/>
    <mergeCell ref="E5:E6"/>
    <mergeCell ref="E7:E8"/>
    <mergeCell ref="E9:E10"/>
    <mergeCell ref="A3:A4"/>
    <mergeCell ref="A5:A6"/>
    <mergeCell ref="A7:A8"/>
    <mergeCell ref="A9:A10"/>
    <mergeCell ref="A1:D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BB034-0797-488E-8452-A9D6D57ED035}">
  <dimension ref="A1:M18"/>
  <sheetViews>
    <sheetView topLeftCell="C1" zoomScale="205" zoomScaleNormal="205" workbookViewId="0">
      <selection activeCell="Y22" sqref="Y22"/>
    </sheetView>
  </sheetViews>
  <sheetFormatPr defaultRowHeight="15" x14ac:dyDescent="0.25"/>
  <cols>
    <col min="6" max="7" width="7.28515625" customWidth="1"/>
    <col min="8" max="8" width="11.28515625" bestFit="1" customWidth="1"/>
    <col min="9" max="9" width="9" bestFit="1" customWidth="1"/>
    <col min="10" max="10" width="7.85546875" customWidth="1"/>
    <col min="11" max="11" width="8.5703125" customWidth="1"/>
    <col min="12" max="12" width="11.28515625" bestFit="1" customWidth="1"/>
    <col min="13" max="13" width="9" bestFit="1" customWidth="1"/>
  </cols>
  <sheetData>
    <row r="1" spans="1:13" x14ac:dyDescent="0.25">
      <c r="A1" s="6" t="s">
        <v>12</v>
      </c>
      <c r="B1" s="6"/>
      <c r="C1" s="2"/>
      <c r="D1" s="7" t="s">
        <v>14</v>
      </c>
      <c r="E1" s="7"/>
      <c r="F1" s="7" t="s">
        <v>29</v>
      </c>
      <c r="G1" s="7"/>
      <c r="H1" s="7"/>
      <c r="I1" s="7"/>
      <c r="J1" s="7" t="s">
        <v>30</v>
      </c>
      <c r="K1" s="7"/>
      <c r="L1" s="7"/>
      <c r="M1" s="7"/>
    </row>
    <row r="2" spans="1:13" x14ac:dyDescent="0.25">
      <c r="A2">
        <v>1</v>
      </c>
      <c r="B2">
        <v>0.12</v>
      </c>
      <c r="C2" s="2"/>
      <c r="D2" s="2" t="s">
        <v>27</v>
      </c>
      <c r="E2" s="2" t="s">
        <v>28</v>
      </c>
      <c r="F2" s="2" t="s">
        <v>27</v>
      </c>
      <c r="G2" s="2" t="s">
        <v>28</v>
      </c>
      <c r="H2" s="2" t="s">
        <v>31</v>
      </c>
      <c r="I2" s="2" t="s">
        <v>32</v>
      </c>
      <c r="J2" s="2" t="s">
        <v>27</v>
      </c>
      <c r="K2" s="2" t="s">
        <v>28</v>
      </c>
      <c r="L2" s="2" t="s">
        <v>31</v>
      </c>
      <c r="M2" s="2" t="s">
        <v>32</v>
      </c>
    </row>
    <row r="3" spans="1:13" x14ac:dyDescent="0.25">
      <c r="A3">
        <v>0.75</v>
      </c>
      <c r="B3">
        <v>0.2</v>
      </c>
      <c r="C3" s="2" t="s">
        <v>13</v>
      </c>
      <c r="D3" s="2">
        <v>60</v>
      </c>
      <c r="E3" s="2">
        <v>0.12</v>
      </c>
      <c r="F3" s="2">
        <v>37.35</v>
      </c>
      <c r="G3" s="2">
        <v>0.06</v>
      </c>
      <c r="H3" s="3">
        <f>(F3-D3)/D3</f>
        <v>-0.3775</v>
      </c>
      <c r="I3" s="3">
        <f>(G3-E3)/E3</f>
        <v>-0.5</v>
      </c>
      <c r="J3" s="2">
        <v>18.629909365558898</v>
      </c>
      <c r="K3" s="2">
        <v>5.7845899999999999E-2</v>
      </c>
      <c r="L3" s="3">
        <f>(J3-D3)/D3</f>
        <v>-0.68950151057401832</v>
      </c>
      <c r="M3" s="3">
        <f>(K3-E3)/E3</f>
        <v>-0.51795083333333336</v>
      </c>
    </row>
    <row r="4" spans="1:13" x14ac:dyDescent="0.25">
      <c r="A4">
        <v>0.25</v>
      </c>
      <c r="B4">
        <v>0.81</v>
      </c>
      <c r="C4" s="2" t="s">
        <v>2</v>
      </c>
      <c r="D4" s="2">
        <v>60</v>
      </c>
      <c r="E4" s="2">
        <v>2.0299999999999998</v>
      </c>
      <c r="F4" s="2">
        <v>16.59</v>
      </c>
      <c r="G4" s="2">
        <v>0.34</v>
      </c>
      <c r="H4" s="3">
        <f t="shared" ref="H4:I18" si="0">(F4-D4)/D4</f>
        <v>-0.72349999999999992</v>
      </c>
      <c r="I4" s="3">
        <f t="shared" si="0"/>
        <v>-0.83251231527093594</v>
      </c>
      <c r="J4" s="2">
        <v>14.82250755287</v>
      </c>
      <c r="K4" s="2">
        <v>0.86722635999999997</v>
      </c>
      <c r="L4" s="3">
        <f t="shared" ref="L4:L18" si="1">(J4-D4)/D4</f>
        <v>-0.75295820745216668</v>
      </c>
      <c r="M4" s="3">
        <f t="shared" ref="M4:M18" si="2">(K4-E4)/E4</f>
        <v>-0.57279489655172411</v>
      </c>
    </row>
    <row r="5" spans="1:13" x14ac:dyDescent="0.25">
      <c r="A5">
        <v>0.01</v>
      </c>
      <c r="B5">
        <v>2.11</v>
      </c>
      <c r="C5" s="2" t="s">
        <v>3</v>
      </c>
      <c r="D5" s="2">
        <v>60</v>
      </c>
      <c r="E5" s="2">
        <v>0.83</v>
      </c>
      <c r="F5" s="2">
        <v>53</v>
      </c>
      <c r="G5" s="2">
        <v>0.7</v>
      </c>
      <c r="H5" s="3">
        <f t="shared" si="0"/>
        <v>-0.11666666666666667</v>
      </c>
      <c r="I5" s="3">
        <f t="shared" si="0"/>
        <v>-0.15662650602409639</v>
      </c>
      <c r="J5" s="2">
        <v>39.118831822759297</v>
      </c>
      <c r="K5" s="2">
        <v>0.64037233999999998</v>
      </c>
      <c r="L5" s="3">
        <f t="shared" si="1"/>
        <v>-0.34801946962067837</v>
      </c>
      <c r="M5" s="3">
        <f t="shared" si="2"/>
        <v>-0.22846706024096383</v>
      </c>
    </row>
    <row r="6" spans="1:13" x14ac:dyDescent="0.25">
      <c r="A6">
        <v>0</v>
      </c>
      <c r="B6">
        <v>2.2000000000000002</v>
      </c>
      <c r="C6" s="2" t="s">
        <v>4</v>
      </c>
      <c r="D6" s="2">
        <v>60</v>
      </c>
      <c r="E6" s="2">
        <v>0.98</v>
      </c>
      <c r="F6" s="2">
        <v>45.48</v>
      </c>
      <c r="G6" s="2">
        <v>0.75</v>
      </c>
      <c r="H6" s="3">
        <f t="shared" si="0"/>
        <v>-0.24200000000000005</v>
      </c>
      <c r="I6" s="3">
        <f t="shared" si="0"/>
        <v>-0.23469387755102039</v>
      </c>
      <c r="J6" s="2">
        <v>37.344159113796501</v>
      </c>
      <c r="K6" s="2">
        <v>0.64979379999999998</v>
      </c>
      <c r="L6" s="3">
        <f t="shared" si="1"/>
        <v>-0.37759734810339168</v>
      </c>
      <c r="M6" s="3">
        <f t="shared" si="2"/>
        <v>-0.33694510204081635</v>
      </c>
    </row>
    <row r="7" spans="1:13" ht="15.75" thickBot="1" x14ac:dyDescent="0.3">
      <c r="A7" s="1"/>
      <c r="B7" s="1"/>
      <c r="C7" s="2" t="s">
        <v>15</v>
      </c>
      <c r="D7" s="2">
        <v>60</v>
      </c>
      <c r="E7" s="2">
        <v>0.14000000000000001</v>
      </c>
      <c r="F7" s="2">
        <v>38.659999999999997</v>
      </c>
      <c r="G7" s="2">
        <v>0.06</v>
      </c>
      <c r="H7" s="3">
        <f t="shared" si="0"/>
        <v>-0.35566666666666674</v>
      </c>
      <c r="I7" s="3">
        <f t="shared" si="0"/>
        <v>-0.57142857142857151</v>
      </c>
      <c r="J7" s="2">
        <v>22.006294058408798</v>
      </c>
      <c r="K7" s="2">
        <v>0.11504462999999999</v>
      </c>
      <c r="L7" s="3">
        <f t="shared" si="1"/>
        <v>-0.63322843235985338</v>
      </c>
      <c r="M7" s="3">
        <f t="shared" si="2"/>
        <v>-0.17825264285714298</v>
      </c>
    </row>
    <row r="8" spans="1:13" x14ac:dyDescent="0.25">
      <c r="C8" s="2" t="s">
        <v>16</v>
      </c>
      <c r="D8" s="2">
        <v>60</v>
      </c>
      <c r="E8" s="2">
        <v>0.73</v>
      </c>
      <c r="F8" s="2">
        <v>21.4637462235649</v>
      </c>
      <c r="G8" s="2">
        <v>0.60278171300887995</v>
      </c>
      <c r="H8" s="3">
        <f t="shared" si="0"/>
        <v>-0.64227089627391842</v>
      </c>
      <c r="I8" s="3">
        <f t="shared" si="0"/>
        <v>-0.17427162601523294</v>
      </c>
      <c r="J8" s="2">
        <v>0.5</v>
      </c>
      <c r="K8" s="2">
        <v>0.27514729999999998</v>
      </c>
      <c r="L8" s="3">
        <f t="shared" si="1"/>
        <v>-0.9916666666666667</v>
      </c>
      <c r="M8" s="3">
        <f t="shared" si="2"/>
        <v>-0.62308589041095896</v>
      </c>
    </row>
    <row r="9" spans="1:13" x14ac:dyDescent="0.25">
      <c r="C9" s="2" t="s">
        <v>17</v>
      </c>
      <c r="D9" s="2">
        <v>60</v>
      </c>
      <c r="E9" s="2">
        <v>0.89</v>
      </c>
      <c r="F9" s="2">
        <v>48.265861027190297</v>
      </c>
      <c r="G9" s="2">
        <v>0.74577420949935902</v>
      </c>
      <c r="H9" s="3">
        <f t="shared" si="0"/>
        <v>-0.19556898288016172</v>
      </c>
      <c r="I9" s="3">
        <f t="shared" si="0"/>
        <v>-0.16205145000072022</v>
      </c>
      <c r="J9" s="2">
        <v>13.698640483383601</v>
      </c>
      <c r="K9" s="2">
        <v>0.41275771999999999</v>
      </c>
      <c r="L9" s="3">
        <f t="shared" si="1"/>
        <v>-0.77168932527694001</v>
      </c>
      <c r="M9" s="3">
        <f t="shared" si="2"/>
        <v>-0.53622728089887639</v>
      </c>
    </row>
    <row r="10" spans="1:13" x14ac:dyDescent="0.25">
      <c r="C10" s="2" t="s">
        <v>18</v>
      </c>
      <c r="D10" s="2">
        <v>60</v>
      </c>
      <c r="E10" s="2">
        <v>1.66</v>
      </c>
      <c r="F10" s="2">
        <v>14.1842900302114</v>
      </c>
      <c r="G10" s="2">
        <v>1.41485106945037</v>
      </c>
      <c r="H10" s="3">
        <f t="shared" si="0"/>
        <v>-0.76359516616314338</v>
      </c>
      <c r="I10" s="3">
        <f t="shared" si="0"/>
        <v>-0.14768007864435539</v>
      </c>
      <c r="J10" s="2">
        <v>15.9239677744209</v>
      </c>
      <c r="K10" s="2">
        <v>0.38465654999999999</v>
      </c>
      <c r="L10" s="3">
        <f t="shared" si="1"/>
        <v>-0.73460053709298501</v>
      </c>
      <c r="M10" s="3">
        <f t="shared" si="2"/>
        <v>-0.76827918674698792</v>
      </c>
    </row>
    <row r="11" spans="1:13" x14ac:dyDescent="0.25">
      <c r="C11" s="2" t="s">
        <v>19</v>
      </c>
      <c r="D11" s="2">
        <v>60</v>
      </c>
      <c r="E11" s="2">
        <v>2.37</v>
      </c>
      <c r="F11" s="2">
        <v>57.667673716011997</v>
      </c>
      <c r="G11" s="2">
        <v>2.1976292133331299</v>
      </c>
      <c r="H11" s="3">
        <f t="shared" si="0"/>
        <v>-3.8872104733133385E-2</v>
      </c>
      <c r="I11" s="3">
        <f t="shared" si="0"/>
        <v>-7.2730289732856626E-2</v>
      </c>
      <c r="J11" s="2">
        <v>36.113544813695803</v>
      </c>
      <c r="K11" s="2">
        <v>0.76578385000000004</v>
      </c>
      <c r="L11" s="3">
        <f t="shared" si="1"/>
        <v>-0.39810758643840327</v>
      </c>
      <c r="M11" s="3">
        <f t="shared" si="2"/>
        <v>-0.67688445147679321</v>
      </c>
    </row>
    <row r="12" spans="1:13" x14ac:dyDescent="0.25">
      <c r="C12" s="2" t="s">
        <v>20</v>
      </c>
      <c r="D12" s="2">
        <v>60</v>
      </c>
      <c r="E12" s="2">
        <v>0.74</v>
      </c>
      <c r="F12" s="2">
        <v>43.777945619335298</v>
      </c>
      <c r="G12" s="2">
        <v>0.618258357048034</v>
      </c>
      <c r="H12" s="3">
        <f t="shared" si="0"/>
        <v>-0.27036757301107833</v>
      </c>
      <c r="I12" s="3">
        <f t="shared" si="0"/>
        <v>-0.16451573371887296</v>
      </c>
      <c r="J12" s="2">
        <v>41.088620342396702</v>
      </c>
      <c r="K12" s="2">
        <v>0.62209104999999998</v>
      </c>
      <c r="L12" s="3">
        <f t="shared" si="1"/>
        <v>-0.31518966096005496</v>
      </c>
      <c r="M12" s="3">
        <f t="shared" si="2"/>
        <v>-0.15933641891891895</v>
      </c>
    </row>
    <row r="13" spans="1:13" x14ac:dyDescent="0.25">
      <c r="C13" s="2" t="s">
        <v>21</v>
      </c>
      <c r="D13" s="2">
        <v>60</v>
      </c>
      <c r="E13" s="2">
        <v>0.83</v>
      </c>
      <c r="F13" s="2">
        <v>45.835347432024101</v>
      </c>
      <c r="G13" s="2">
        <v>0.65597361326217596</v>
      </c>
      <c r="H13" s="3">
        <f t="shared" si="0"/>
        <v>-0.23607754279959833</v>
      </c>
      <c r="I13" s="3">
        <f t="shared" si="0"/>
        <v>-0.20967034546725785</v>
      </c>
      <c r="J13" s="2">
        <v>37.738922457200403</v>
      </c>
      <c r="K13" s="2">
        <v>0.6158536</v>
      </c>
      <c r="L13" s="3">
        <f t="shared" si="1"/>
        <v>-0.37101795904665996</v>
      </c>
      <c r="M13" s="3">
        <f t="shared" si="2"/>
        <v>-0.25800771084337348</v>
      </c>
    </row>
    <row r="14" spans="1:13" x14ac:dyDescent="0.25">
      <c r="C14" s="2" t="s">
        <v>22</v>
      </c>
      <c r="D14" s="2">
        <v>60</v>
      </c>
      <c r="E14" s="2">
        <v>0.66</v>
      </c>
      <c r="F14" s="2">
        <v>49.060422960724999</v>
      </c>
      <c r="G14" s="2">
        <v>0.65658277273178101</v>
      </c>
      <c r="H14" s="3">
        <f t="shared" si="0"/>
        <v>-0.18232628398791667</v>
      </c>
      <c r="I14" s="3">
        <f t="shared" si="0"/>
        <v>-5.1776170730591289E-3</v>
      </c>
      <c r="J14" s="2">
        <v>23.835347432024101</v>
      </c>
      <c r="K14" s="2">
        <v>0.62006720000000004</v>
      </c>
      <c r="L14" s="3">
        <f t="shared" si="1"/>
        <v>-0.60274420946626495</v>
      </c>
      <c r="M14" s="3">
        <f t="shared" si="2"/>
        <v>-6.0504242424242405E-2</v>
      </c>
    </row>
    <row r="15" spans="1:13" x14ac:dyDescent="0.25">
      <c r="C15" s="2" t="s">
        <v>23</v>
      </c>
      <c r="D15" s="2">
        <v>60</v>
      </c>
      <c r="E15" s="2">
        <v>0.73</v>
      </c>
      <c r="F15" s="2">
        <v>37.768882175226501</v>
      </c>
      <c r="G15" s="2">
        <v>0.69652271270751898</v>
      </c>
      <c r="H15" s="3">
        <f t="shared" si="0"/>
        <v>-0.37051863041289163</v>
      </c>
      <c r="I15" s="3">
        <f t="shared" si="0"/>
        <v>-4.5859297660932885E-2</v>
      </c>
      <c r="J15" s="2">
        <v>1.15835850956696</v>
      </c>
      <c r="K15" s="2">
        <v>0.65139910000000001</v>
      </c>
      <c r="L15" s="3">
        <f t="shared" si="1"/>
        <v>-0.98069402484055068</v>
      </c>
      <c r="M15" s="3">
        <f t="shared" si="2"/>
        <v>-0.10767246575342462</v>
      </c>
    </row>
    <row r="16" spans="1:13" x14ac:dyDescent="0.25">
      <c r="C16" s="2" t="s">
        <v>24</v>
      </c>
      <c r="D16" s="2">
        <v>60</v>
      </c>
      <c r="E16" s="2">
        <v>0.86</v>
      </c>
      <c r="F16" s="2">
        <v>43.916918429002997</v>
      </c>
      <c r="G16" s="2">
        <v>0.64224714040756203</v>
      </c>
      <c r="H16" s="3">
        <f t="shared" si="0"/>
        <v>-0.26805135951661668</v>
      </c>
      <c r="I16" s="3">
        <f t="shared" si="0"/>
        <v>-0.25320099952609065</v>
      </c>
      <c r="J16" s="2">
        <v>14.6641490433031</v>
      </c>
      <c r="K16" s="2">
        <v>0.54911390000000004</v>
      </c>
      <c r="L16" s="3">
        <f t="shared" si="1"/>
        <v>-0.75559751594494839</v>
      </c>
      <c r="M16" s="3">
        <f t="shared" si="2"/>
        <v>-0.361495465116279</v>
      </c>
    </row>
    <row r="17" spans="3:13" x14ac:dyDescent="0.25">
      <c r="C17" s="2" t="s">
        <v>25</v>
      </c>
      <c r="D17" s="2">
        <v>60</v>
      </c>
      <c r="E17" s="2">
        <v>1.73</v>
      </c>
      <c r="F17" s="2">
        <v>55.8685800604229</v>
      </c>
      <c r="G17" s="2">
        <v>2.0766952037811199</v>
      </c>
      <c r="H17" s="3">
        <f t="shared" si="0"/>
        <v>-6.8856998992951668E-2</v>
      </c>
      <c r="I17" s="3">
        <f t="shared" si="0"/>
        <v>0.20040185189660112</v>
      </c>
      <c r="J17" s="2">
        <v>36.009063444108698</v>
      </c>
      <c r="K17" s="2">
        <v>0.65870600000000001</v>
      </c>
      <c r="L17" s="3">
        <f t="shared" si="1"/>
        <v>-0.39984894259818837</v>
      </c>
      <c r="M17" s="3">
        <f t="shared" si="2"/>
        <v>-0.61924508670520229</v>
      </c>
    </row>
    <row r="18" spans="3:13" x14ac:dyDescent="0.25">
      <c r="C18" s="2" t="s">
        <v>26</v>
      </c>
      <c r="D18" s="2">
        <v>60</v>
      </c>
      <c r="E18" s="2">
        <v>0.65</v>
      </c>
      <c r="F18" s="2">
        <v>43.170694864048301</v>
      </c>
      <c r="G18" s="2">
        <v>0.64656275510787897</v>
      </c>
      <c r="H18" s="3">
        <f t="shared" si="0"/>
        <v>-0.28048841893252835</v>
      </c>
      <c r="I18" s="3">
        <f t="shared" si="0"/>
        <v>-5.2880690648016149E-3</v>
      </c>
      <c r="J18" s="2">
        <v>31.956696878147</v>
      </c>
      <c r="K18" s="2">
        <v>0.6452852</v>
      </c>
      <c r="L18" s="3">
        <f t="shared" si="1"/>
        <v>-0.46738838536421667</v>
      </c>
      <c r="M18" s="3">
        <f t="shared" si="2"/>
        <v>-7.2535384615384901E-3</v>
      </c>
    </row>
  </sheetData>
  <mergeCells count="4">
    <mergeCell ref="D1:E1"/>
    <mergeCell ref="F1:I1"/>
    <mergeCell ref="J1:M1"/>
    <mergeCell ref="A1:B1"/>
  </mergeCells>
  <conditionalFormatting sqref="H3:H18 L3:L18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:I18 M3:M18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14795-EE5D-4065-B189-CBC818EEB423}">
  <dimension ref="A1:L72"/>
  <sheetViews>
    <sheetView zoomScale="175" zoomScaleNormal="175" workbookViewId="0">
      <selection activeCell="J4" sqref="J4"/>
    </sheetView>
  </sheetViews>
  <sheetFormatPr defaultRowHeight="15" x14ac:dyDescent="0.25"/>
  <cols>
    <col min="2" max="2" width="11.140625" bestFit="1" customWidth="1"/>
    <col min="9" max="12" width="9.7109375" bestFit="1" customWidth="1"/>
  </cols>
  <sheetData>
    <row r="1" spans="1:12" x14ac:dyDescent="0.25">
      <c r="A1" t="s">
        <v>43</v>
      </c>
      <c r="B1" s="6" t="s">
        <v>43</v>
      </c>
      <c r="C1" s="6"/>
      <c r="D1" s="6"/>
      <c r="E1" s="6"/>
      <c r="F1" s="6"/>
      <c r="H1" s="6" t="s">
        <v>44</v>
      </c>
      <c r="I1" s="6"/>
      <c r="J1" s="6"/>
      <c r="K1" s="6"/>
      <c r="L1" s="6"/>
    </row>
    <row r="2" spans="1:12" x14ac:dyDescent="0.25">
      <c r="C2">
        <v>0</v>
      </c>
      <c r="D2">
        <v>0.25</v>
      </c>
      <c r="E2">
        <v>0.5</v>
      </c>
      <c r="F2">
        <v>0.75</v>
      </c>
      <c r="I2">
        <v>0</v>
      </c>
      <c r="J2">
        <v>0.25</v>
      </c>
      <c r="K2">
        <v>0.5</v>
      </c>
      <c r="L2">
        <v>0.75</v>
      </c>
    </row>
    <row r="3" spans="1:12" x14ac:dyDescent="0.25">
      <c r="B3" t="s">
        <v>33</v>
      </c>
      <c r="C3" s="4">
        <v>0.27189540863037098</v>
      </c>
      <c r="D3" s="4">
        <v>0.36382037401199302</v>
      </c>
      <c r="E3" s="4">
        <v>0.494205951690673</v>
      </c>
      <c r="F3" s="4">
        <v>0.55866557359695401</v>
      </c>
      <c r="H3" t="s">
        <v>33</v>
      </c>
      <c r="I3" s="4">
        <v>8.5170909762382493E-2</v>
      </c>
      <c r="J3" s="4">
        <v>0.222528532147407</v>
      </c>
      <c r="K3" s="4">
        <v>0.35094916820526101</v>
      </c>
      <c r="L3" s="4">
        <v>0.51307475566864003</v>
      </c>
    </row>
    <row r="4" spans="1:12" x14ac:dyDescent="0.25">
      <c r="B4" t="s">
        <v>34</v>
      </c>
      <c r="C4" s="4">
        <v>0.233973428606987</v>
      </c>
      <c r="D4" s="4">
        <v>0.33200874924659701</v>
      </c>
      <c r="E4" s="4">
        <v>0.474079400300979</v>
      </c>
      <c r="F4" s="4">
        <v>0.54391020536422696</v>
      </c>
      <c r="H4" t="s">
        <v>34</v>
      </c>
      <c r="I4" s="4">
        <v>8.2391157746315002E-2</v>
      </c>
      <c r="J4" s="4">
        <v>0.22033174335956501</v>
      </c>
      <c r="K4" s="4">
        <v>0.35180640220642001</v>
      </c>
      <c r="L4" s="4">
        <v>0.51111000776290805</v>
      </c>
    </row>
    <row r="5" spans="1:12" x14ac:dyDescent="0.25">
      <c r="B5" t="s">
        <v>35</v>
      </c>
      <c r="C5" s="4">
        <v>0.217545881867408</v>
      </c>
      <c r="D5" s="4">
        <v>0.318383008241653</v>
      </c>
      <c r="E5" s="4">
        <v>0.467355877161026</v>
      </c>
      <c r="F5" s="4">
        <v>0.53917318582534701</v>
      </c>
      <c r="H5" t="s">
        <v>35</v>
      </c>
      <c r="I5" s="4">
        <v>7.9760983586311299E-2</v>
      </c>
      <c r="J5" s="4">
        <v>0.218766540288925</v>
      </c>
      <c r="K5" s="4">
        <v>0.34959441423416099</v>
      </c>
      <c r="L5" s="4">
        <v>0.51007163524627597</v>
      </c>
    </row>
    <row r="6" spans="1:12" x14ac:dyDescent="0.25">
      <c r="B6" t="s">
        <v>36</v>
      </c>
      <c r="C6" s="4">
        <v>0.18054699897766099</v>
      </c>
      <c r="D6" s="4">
        <v>0.29057478904724099</v>
      </c>
      <c r="E6" s="4">
        <v>0.44592031836509699</v>
      </c>
      <c r="F6" s="4">
        <v>0.53005999326705899</v>
      </c>
      <c r="H6" t="s">
        <v>36</v>
      </c>
      <c r="I6" s="4">
        <v>7.9597905278205802E-2</v>
      </c>
      <c r="J6" s="4">
        <v>0.21739374101161901</v>
      </c>
      <c r="K6" s="4">
        <v>0.34965860843658397</v>
      </c>
      <c r="L6" s="4">
        <v>0.51108288764953602</v>
      </c>
    </row>
    <row r="7" spans="1:12" x14ac:dyDescent="0.25">
      <c r="B7" t="s">
        <v>37</v>
      </c>
      <c r="C7" s="4">
        <v>0.162834748625755</v>
      </c>
      <c r="D7" s="4">
        <v>0.27828323841094899</v>
      </c>
      <c r="E7" s="4">
        <v>0.43857946991920399</v>
      </c>
      <c r="F7" s="4">
        <v>0.52790868282318104</v>
      </c>
      <c r="H7" t="s">
        <v>37</v>
      </c>
      <c r="I7" s="4">
        <v>8.1660643219947801E-2</v>
      </c>
      <c r="J7" s="4">
        <v>0.214857518672943</v>
      </c>
      <c r="K7" s="4">
        <v>0.34866455197334201</v>
      </c>
      <c r="L7" s="4">
        <v>0.51112741231918302</v>
      </c>
    </row>
    <row r="8" spans="1:12" x14ac:dyDescent="0.25">
      <c r="B8" t="s">
        <v>38</v>
      </c>
      <c r="C8" s="4">
        <v>0.13878118991851801</v>
      </c>
      <c r="D8" s="4">
        <v>0.25960284471511802</v>
      </c>
      <c r="E8" s="4">
        <v>0.42409878969192499</v>
      </c>
      <c r="F8" s="4">
        <v>0.51678901910781805</v>
      </c>
      <c r="H8" t="s">
        <v>38</v>
      </c>
      <c r="I8" s="4">
        <v>8.42735320329666E-2</v>
      </c>
      <c r="J8" s="4">
        <v>0.216085910797119</v>
      </c>
      <c r="K8" s="4">
        <v>0.34663981199264499</v>
      </c>
      <c r="L8" s="4">
        <v>0.51035559177398604</v>
      </c>
    </row>
    <row r="9" spans="1:12" x14ac:dyDescent="0.25">
      <c r="B9" t="s">
        <v>39</v>
      </c>
      <c r="C9" s="4">
        <v>0.122496925294399</v>
      </c>
      <c r="D9" s="4">
        <v>0.247472614049911</v>
      </c>
      <c r="E9" s="4">
        <v>0.41256707906723</v>
      </c>
      <c r="F9" s="4">
        <v>0.51719731092453003</v>
      </c>
      <c r="H9" t="s">
        <v>39</v>
      </c>
      <c r="I9" s="4">
        <v>8.6243011057376806E-2</v>
      </c>
      <c r="J9" s="4">
        <v>0.21605767309665599</v>
      </c>
      <c r="K9" s="4">
        <v>0.34652954339981001</v>
      </c>
      <c r="L9" s="4">
        <v>0.510017991065979</v>
      </c>
    </row>
    <row r="10" spans="1:12" x14ac:dyDescent="0.25">
      <c r="B10" t="s">
        <v>40</v>
      </c>
      <c r="C10" s="4">
        <v>0.118564888834953</v>
      </c>
      <c r="D10" s="4">
        <v>0.24156846106052399</v>
      </c>
      <c r="E10" s="4">
        <v>0.40130293369293202</v>
      </c>
      <c r="F10" s="4">
        <v>0.51193130016326904</v>
      </c>
      <c r="H10" t="s">
        <v>40</v>
      </c>
      <c r="I10" s="4">
        <v>9.2112235724925995E-2</v>
      </c>
      <c r="J10" s="4">
        <v>0.21640263497829401</v>
      </c>
      <c r="K10" s="4">
        <v>0.346067875623703</v>
      </c>
      <c r="L10" s="4">
        <v>0.50887721776962203</v>
      </c>
    </row>
    <row r="11" spans="1:12" x14ac:dyDescent="0.25">
      <c r="B11" t="s">
        <v>41</v>
      </c>
      <c r="C11" s="4">
        <v>0.118880815804004</v>
      </c>
      <c r="D11" s="4">
        <v>0.24171119928359899</v>
      </c>
      <c r="E11" s="4">
        <v>0.40162569284438998</v>
      </c>
      <c r="F11" s="4">
        <v>0.512864649295806</v>
      </c>
      <c r="H11" t="s">
        <v>41</v>
      </c>
      <c r="I11" s="4">
        <v>9.1786026954650796E-2</v>
      </c>
      <c r="J11" s="4">
        <v>0.215674743056297</v>
      </c>
      <c r="K11" s="4">
        <v>0.343812555074691</v>
      </c>
      <c r="L11" s="4">
        <v>0.50546354055404596</v>
      </c>
    </row>
    <row r="12" spans="1:12" x14ac:dyDescent="0.25">
      <c r="B12" t="s">
        <v>42</v>
      </c>
      <c r="C12" s="4">
        <v>0.117890156805515</v>
      </c>
      <c r="D12" s="4">
        <v>0.23946288228034901</v>
      </c>
      <c r="E12" s="4">
        <v>0.399296194314956</v>
      </c>
      <c r="F12" s="4">
        <v>0.51525521278381303</v>
      </c>
      <c r="H12" t="s">
        <v>42</v>
      </c>
      <c r="I12" s="4">
        <v>0.10363265126943499</v>
      </c>
      <c r="J12" s="4">
        <v>0.22232507169246599</v>
      </c>
      <c r="K12" s="4">
        <v>0.350458443164825</v>
      </c>
      <c r="L12" s="4">
        <v>0.51009666919708196</v>
      </c>
    </row>
    <row r="13" spans="1:12" x14ac:dyDescent="0.25">
      <c r="A13" t="s">
        <v>45</v>
      </c>
      <c r="B13" s="8" t="s">
        <v>49</v>
      </c>
      <c r="C13" s="8"/>
      <c r="D13" s="8"/>
      <c r="E13" s="8"/>
      <c r="F13" s="8"/>
      <c r="H13" s="6" t="s">
        <v>54</v>
      </c>
      <c r="I13" s="6"/>
      <c r="J13" s="6"/>
      <c r="K13" s="6"/>
      <c r="L13" s="6"/>
    </row>
    <row r="14" spans="1:12" x14ac:dyDescent="0.25">
      <c r="I14">
        <v>0</v>
      </c>
      <c r="J14">
        <v>0.25</v>
      </c>
      <c r="K14">
        <v>0.5</v>
      </c>
      <c r="L14">
        <v>0.75</v>
      </c>
    </row>
    <row r="15" spans="1:12" x14ac:dyDescent="0.25">
      <c r="B15" t="s">
        <v>33</v>
      </c>
      <c r="C15" s="4">
        <v>0.27189540863037098</v>
      </c>
      <c r="D15" s="4">
        <v>5.9393939971923801</v>
      </c>
      <c r="E15" s="4">
        <v>8.0883722305297798</v>
      </c>
      <c r="F15" s="4">
        <v>4.9448685646057102</v>
      </c>
      <c r="H15" t="s">
        <v>33</v>
      </c>
      <c r="I15" s="5">
        <f>(I3-C3)/C3</f>
        <v>-0.68675120263553857</v>
      </c>
      <c r="J15" s="5">
        <f t="shared" ref="J15:L15" si="0">(J3-D3)/D3</f>
        <v>-0.38835604588743688</v>
      </c>
      <c r="K15" s="5">
        <f t="shared" si="0"/>
        <v>-0.28987263912005135</v>
      </c>
      <c r="L15" s="5">
        <f t="shared" si="0"/>
        <v>-8.1606635674324218E-2</v>
      </c>
    </row>
    <row r="16" spans="1:12" x14ac:dyDescent="0.25">
      <c r="B16" t="s">
        <v>34</v>
      </c>
      <c r="C16" s="4">
        <v>0.233973428606987</v>
      </c>
      <c r="D16" s="4">
        <v>3.7650372982025102</v>
      </c>
      <c r="E16" s="4">
        <v>5.4776058197021396</v>
      </c>
      <c r="F16" s="4">
        <v>3.2455987930297798</v>
      </c>
      <c r="H16" t="s">
        <v>34</v>
      </c>
      <c r="I16" s="5">
        <f t="shared" ref="I16:I24" si="1">(I4-C4)/C4</f>
        <v>-0.64786104885136253</v>
      </c>
      <c r="J16" s="5">
        <f t="shared" ref="J16:J24" si="2">(J4-D4)/D4</f>
        <v>-0.33636765940792945</v>
      </c>
      <c r="K16" s="5">
        <f t="shared" ref="K16:K24" si="3">(K4-E4)/E4</f>
        <v>-0.25791670765895225</v>
      </c>
      <c r="L16" s="5">
        <f t="shared" ref="L16:L24" si="4">(L4-F4)/F4</f>
        <v>-6.0304434956050167E-2</v>
      </c>
    </row>
    <row r="17" spans="1:12" x14ac:dyDescent="0.25">
      <c r="B17" t="s">
        <v>35</v>
      </c>
      <c r="C17" s="4">
        <v>0.217545881867408</v>
      </c>
      <c r="D17" s="4">
        <v>3.72147369384765</v>
      </c>
      <c r="E17" s="4">
        <v>5.0899796485900799</v>
      </c>
      <c r="F17" s="4">
        <v>2.8935229778289702</v>
      </c>
      <c r="H17" t="s">
        <v>35</v>
      </c>
      <c r="I17" s="5">
        <f t="shared" si="1"/>
        <v>-0.63336017716517923</v>
      </c>
      <c r="J17" s="5">
        <f t="shared" si="2"/>
        <v>-0.31288248861923879</v>
      </c>
      <c r="K17" s="5">
        <f t="shared" si="3"/>
        <v>-0.25197385692935381</v>
      </c>
      <c r="L17" s="5">
        <f t="shared" si="4"/>
        <v>-5.3974402555875316E-2</v>
      </c>
    </row>
    <row r="18" spans="1:12" x14ac:dyDescent="0.25">
      <c r="B18" t="s">
        <v>36</v>
      </c>
      <c r="C18" s="4">
        <v>0.18054699897766099</v>
      </c>
      <c r="D18" s="4">
        <v>1.29285681247711</v>
      </c>
      <c r="E18" s="4">
        <v>1.74140441417694</v>
      </c>
      <c r="F18" s="4">
        <v>1.32433974742889</v>
      </c>
      <c r="H18" t="s">
        <v>36</v>
      </c>
      <c r="I18" s="5">
        <f t="shared" si="1"/>
        <v>-0.55912917008355023</v>
      </c>
      <c r="J18" s="5">
        <f t="shared" si="2"/>
        <v>-0.25184926839514754</v>
      </c>
      <c r="K18" s="5">
        <f t="shared" si="3"/>
        <v>-0.21587199767313317</v>
      </c>
      <c r="L18" s="5">
        <f t="shared" si="4"/>
        <v>-3.5801807075754491E-2</v>
      </c>
    </row>
    <row r="19" spans="1:12" x14ac:dyDescent="0.25">
      <c r="B19" t="s">
        <v>37</v>
      </c>
      <c r="C19" s="4">
        <v>0.162834748625755</v>
      </c>
      <c r="D19" s="4">
        <v>0.90321421623229903</v>
      </c>
      <c r="E19" s="4">
        <v>1.2656401395797701</v>
      </c>
      <c r="F19" s="4">
        <v>1.0331237316131501</v>
      </c>
      <c r="H19" t="s">
        <v>37</v>
      </c>
      <c r="I19" s="5">
        <f t="shared" si="1"/>
        <v>-0.49850603812071215</v>
      </c>
      <c r="J19" s="5">
        <f t="shared" si="2"/>
        <v>-0.22791785843868673</v>
      </c>
      <c r="K19" s="5">
        <f t="shared" si="3"/>
        <v>-0.20501396921845497</v>
      </c>
      <c r="L19" s="5">
        <f t="shared" si="4"/>
        <v>-3.1788207032803779E-2</v>
      </c>
    </row>
    <row r="20" spans="1:12" x14ac:dyDescent="0.25">
      <c r="B20" t="s">
        <v>38</v>
      </c>
      <c r="C20" s="4">
        <v>0.13878118991851801</v>
      </c>
      <c r="D20" s="4">
        <v>0.73103874921798695</v>
      </c>
      <c r="E20" s="4">
        <v>0.92792713642120295</v>
      </c>
      <c r="F20" s="4">
        <v>0.88374829292297297</v>
      </c>
      <c r="H20" t="s">
        <v>38</v>
      </c>
      <c r="I20" s="5">
        <f t="shared" si="1"/>
        <v>-0.39275969544254702</v>
      </c>
      <c r="J20" s="5">
        <f t="shared" si="2"/>
        <v>-0.16762887928194109</v>
      </c>
      <c r="K20" s="5">
        <f t="shared" si="3"/>
        <v>-0.18264371316774558</v>
      </c>
      <c r="L20" s="5">
        <f t="shared" si="4"/>
        <v>-1.2448846813615827E-2</v>
      </c>
    </row>
    <row r="21" spans="1:12" x14ac:dyDescent="0.25">
      <c r="B21" t="s">
        <v>39</v>
      </c>
      <c r="C21" s="4">
        <v>0.122496925294399</v>
      </c>
      <c r="D21" s="4">
        <v>0.94089961051940896</v>
      </c>
      <c r="E21" s="4">
        <v>1.0987974405288601</v>
      </c>
      <c r="F21" s="4">
        <v>0.89421093463897705</v>
      </c>
      <c r="H21" t="s">
        <v>39</v>
      </c>
      <c r="I21" s="5">
        <f t="shared" si="1"/>
        <v>-0.29595774873444802</v>
      </c>
      <c r="J21" s="5">
        <f t="shared" si="2"/>
        <v>-0.12694310064918596</v>
      </c>
      <c r="K21" s="5">
        <f t="shared" si="3"/>
        <v>-0.16006496644551424</v>
      </c>
      <c r="L21" s="5">
        <f t="shared" si="4"/>
        <v>-1.3881201055971151E-2</v>
      </c>
    </row>
    <row r="22" spans="1:12" x14ac:dyDescent="0.25">
      <c r="B22" t="s">
        <v>40</v>
      </c>
      <c r="C22" s="4">
        <v>0.118564888834953</v>
      </c>
      <c r="D22" s="4">
        <v>0.75770562887191695</v>
      </c>
      <c r="E22" s="4">
        <v>0.98815703392028797</v>
      </c>
      <c r="F22" s="4">
        <v>0.78274136781692505</v>
      </c>
      <c r="H22" t="s">
        <v>40</v>
      </c>
      <c r="I22" s="5">
        <f t="shared" si="1"/>
        <v>-0.22310697011532768</v>
      </c>
      <c r="J22" s="5">
        <f t="shared" si="2"/>
        <v>-0.10417678686922952</v>
      </c>
      <c r="K22" s="5">
        <f t="shared" si="3"/>
        <v>-0.13763930794359366</v>
      </c>
      <c r="L22" s="5">
        <f t="shared" si="4"/>
        <v>-5.9658051630618915E-3</v>
      </c>
    </row>
    <row r="23" spans="1:12" x14ac:dyDescent="0.25">
      <c r="B23" t="s">
        <v>41</v>
      </c>
      <c r="C23" s="4">
        <v>0.118880815804004</v>
      </c>
      <c r="D23" s="4">
        <v>0.77464586496353105</v>
      </c>
      <c r="E23" s="4">
        <v>1.0309464931487999</v>
      </c>
      <c r="F23" s="4">
        <v>0.81303030252456598</v>
      </c>
      <c r="H23" t="s">
        <v>41</v>
      </c>
      <c r="I23" s="5">
        <f t="shared" si="1"/>
        <v>-0.22791556960732628</v>
      </c>
      <c r="J23" s="5">
        <f t="shared" si="2"/>
        <v>-0.10771721088832753</v>
      </c>
      <c r="K23" s="5">
        <f t="shared" si="3"/>
        <v>-0.14394780712422875</v>
      </c>
      <c r="L23" s="5">
        <f t="shared" si="4"/>
        <v>-1.4430920033038344E-2</v>
      </c>
    </row>
    <row r="24" spans="1:12" x14ac:dyDescent="0.25">
      <c r="B24" t="s">
        <v>42</v>
      </c>
      <c r="C24" s="4">
        <v>0.117890156805515</v>
      </c>
      <c r="D24" s="4">
        <v>1.3815779685974099</v>
      </c>
      <c r="E24" s="4">
        <v>1.6509157419204701</v>
      </c>
      <c r="F24" s="4">
        <v>1.2023682594299301</v>
      </c>
      <c r="H24" t="s">
        <v>42</v>
      </c>
      <c r="I24" s="5">
        <f t="shared" si="1"/>
        <v>-0.12093889704125854</v>
      </c>
      <c r="J24" s="5">
        <f t="shared" si="2"/>
        <v>-7.1567711975583287E-2</v>
      </c>
      <c r="K24" s="5">
        <f t="shared" si="3"/>
        <v>-0.12230958332552719</v>
      </c>
      <c r="L24" s="5">
        <f t="shared" si="4"/>
        <v>-1.0011628138336665E-2</v>
      </c>
    </row>
    <row r="25" spans="1:12" x14ac:dyDescent="0.25">
      <c r="A25" t="s">
        <v>46</v>
      </c>
      <c r="B25" s="8" t="s">
        <v>50</v>
      </c>
      <c r="C25" s="8"/>
      <c r="D25" s="8"/>
      <c r="E25" s="8"/>
      <c r="F25" s="8"/>
    </row>
    <row r="27" spans="1:12" x14ac:dyDescent="0.25">
      <c r="B27" t="s">
        <v>33</v>
      </c>
      <c r="C27" s="4">
        <v>0.27189540863037098</v>
      </c>
      <c r="D27" s="4">
        <v>1.5571893453598</v>
      </c>
      <c r="E27" s="4">
        <v>0.49361649155616699</v>
      </c>
      <c r="F27" s="4">
        <v>0.564980328083038</v>
      </c>
    </row>
    <row r="28" spans="1:12" x14ac:dyDescent="0.25">
      <c r="B28" t="s">
        <v>34</v>
      </c>
      <c r="C28" s="4">
        <v>0.233973428606987</v>
      </c>
      <c r="D28" s="4">
        <v>1.2941688299178999</v>
      </c>
      <c r="E28" s="4">
        <v>0.47572681307792603</v>
      </c>
      <c r="F28" s="4">
        <v>0.547185719013214</v>
      </c>
    </row>
    <row r="29" spans="1:12" x14ac:dyDescent="0.25">
      <c r="B29" t="s">
        <v>35</v>
      </c>
      <c r="C29" s="4">
        <v>0.217545881867408</v>
      </c>
      <c r="D29" s="4">
        <v>1.2691837549209499</v>
      </c>
      <c r="E29" s="4">
        <v>0.46337041258811901</v>
      </c>
      <c r="F29" s="4">
        <v>0.53766113519668501</v>
      </c>
    </row>
    <row r="30" spans="1:12" x14ac:dyDescent="0.25">
      <c r="B30" t="s">
        <v>36</v>
      </c>
      <c r="C30" s="4">
        <v>0.18054699897766099</v>
      </c>
      <c r="D30" s="4">
        <v>0.51293444633483798</v>
      </c>
      <c r="E30" s="4">
        <v>0.44053179025650002</v>
      </c>
      <c r="F30" s="4">
        <v>0.51936548948287897</v>
      </c>
    </row>
    <row r="31" spans="1:12" x14ac:dyDescent="0.25">
      <c r="B31" t="s">
        <v>37</v>
      </c>
      <c r="C31" s="4">
        <v>0.162834748625755</v>
      </c>
      <c r="D31" s="4">
        <v>0.48688238859176602</v>
      </c>
      <c r="E31" s="4">
        <v>0.428979963064193</v>
      </c>
      <c r="F31" s="4">
        <v>0.51368212699890103</v>
      </c>
    </row>
    <row r="32" spans="1:12" x14ac:dyDescent="0.25">
      <c r="B32" t="s">
        <v>38</v>
      </c>
      <c r="C32" s="4">
        <v>0.13878118991851801</v>
      </c>
      <c r="D32" s="4">
        <v>0.37475517392158503</v>
      </c>
      <c r="E32" s="4">
        <v>0.406731247901916</v>
      </c>
      <c r="F32" s="4">
        <v>0.50247573852538996</v>
      </c>
    </row>
    <row r="33" spans="1:6" x14ac:dyDescent="0.25">
      <c r="B33" t="s">
        <v>39</v>
      </c>
      <c r="C33" s="4">
        <v>0.122496925294399</v>
      </c>
      <c r="D33" s="4">
        <v>0.40196415781974698</v>
      </c>
      <c r="E33" s="4">
        <v>0.39757019281387301</v>
      </c>
      <c r="F33" s="4">
        <v>0.493893802165985</v>
      </c>
    </row>
    <row r="34" spans="1:6" x14ac:dyDescent="0.25">
      <c r="B34" t="s">
        <v>40</v>
      </c>
      <c r="C34" s="4">
        <v>0.118564888834953</v>
      </c>
      <c r="D34" s="4">
        <v>0.35398378968238797</v>
      </c>
      <c r="E34" s="4">
        <v>0.37708702683448703</v>
      </c>
      <c r="F34" s="4">
        <v>0.48994392156600902</v>
      </c>
    </row>
    <row r="35" spans="1:6" x14ac:dyDescent="0.25">
      <c r="B35" t="s">
        <v>41</v>
      </c>
      <c r="C35" s="4">
        <v>0.118880815804004</v>
      </c>
      <c r="D35" s="4">
        <v>0.38153868913650502</v>
      </c>
      <c r="E35" s="4">
        <v>0.37762066721916199</v>
      </c>
      <c r="F35" s="4">
        <v>0.48968115448951699</v>
      </c>
    </row>
    <row r="36" spans="1:6" x14ac:dyDescent="0.25">
      <c r="B36" t="s">
        <v>42</v>
      </c>
      <c r="C36" s="4">
        <v>0.117890156805515</v>
      </c>
      <c r="D36" s="4">
        <v>0.43968576192855802</v>
      </c>
      <c r="E36" s="4">
        <v>0.37643206119537298</v>
      </c>
      <c r="F36" s="4">
        <v>0.49201038479804898</v>
      </c>
    </row>
    <row r="37" spans="1:6" x14ac:dyDescent="0.25">
      <c r="A37" t="s">
        <v>47</v>
      </c>
      <c r="B37" s="8" t="s">
        <v>51</v>
      </c>
      <c r="C37" s="8"/>
      <c r="D37" s="8"/>
      <c r="E37" s="8"/>
      <c r="F37" s="8"/>
    </row>
    <row r="39" spans="1:6" x14ac:dyDescent="0.25">
      <c r="B39" t="s">
        <v>33</v>
      </c>
      <c r="C39" s="4">
        <v>0.27189540899999998</v>
      </c>
      <c r="D39" s="4">
        <v>0.370610893</v>
      </c>
      <c r="E39" s="4">
        <v>0.46928814099999999</v>
      </c>
      <c r="F39" s="4">
        <v>0.54046618899999999</v>
      </c>
    </row>
    <row r="40" spans="1:6" x14ac:dyDescent="0.25">
      <c r="B40" t="s">
        <v>34</v>
      </c>
      <c r="C40" s="4">
        <v>0.23397342900000001</v>
      </c>
      <c r="D40" s="4">
        <v>0.33944782600000001</v>
      </c>
      <c r="E40" s="4">
        <v>0.44939518000000001</v>
      </c>
      <c r="F40" s="4">
        <v>0.52772086900000004</v>
      </c>
    </row>
    <row r="41" spans="1:6" x14ac:dyDescent="0.25">
      <c r="B41" t="s">
        <v>35</v>
      </c>
      <c r="C41" s="4">
        <v>0.217545882</v>
      </c>
      <c r="D41" s="4">
        <v>0.32581883699999997</v>
      </c>
      <c r="E41" s="4">
        <v>0.439915687</v>
      </c>
      <c r="F41" s="4">
        <v>0.52378499499999998</v>
      </c>
    </row>
    <row r="42" spans="1:6" x14ac:dyDescent="0.25">
      <c r="B42" t="s">
        <v>36</v>
      </c>
      <c r="C42" s="4">
        <v>0.18054699900000001</v>
      </c>
      <c r="D42" s="4">
        <v>0.30159348200000002</v>
      </c>
      <c r="E42" s="4">
        <v>0.42104744900000002</v>
      </c>
      <c r="F42" s="4">
        <v>0.51325720500000005</v>
      </c>
    </row>
    <row r="43" spans="1:6" x14ac:dyDescent="0.25">
      <c r="B43" t="s">
        <v>37</v>
      </c>
      <c r="C43" s="4">
        <v>0.162834749</v>
      </c>
      <c r="D43" s="4">
        <v>0.28697299999999998</v>
      </c>
      <c r="E43" s="4">
        <v>0.416715324</v>
      </c>
      <c r="F43" s="4">
        <v>0.50762629500000001</v>
      </c>
    </row>
    <row r="44" spans="1:6" x14ac:dyDescent="0.25">
      <c r="B44" t="s">
        <v>38</v>
      </c>
      <c r="C44" s="4">
        <v>0.13878119</v>
      </c>
      <c r="D44" s="4">
        <v>0.26553934800000001</v>
      </c>
      <c r="E44" s="4">
        <v>0.40064957699999998</v>
      </c>
      <c r="F44" s="4">
        <v>0.50336527799999997</v>
      </c>
    </row>
    <row r="45" spans="1:6" x14ac:dyDescent="0.25">
      <c r="B45" t="s">
        <v>39</v>
      </c>
      <c r="C45" s="4">
        <v>0.12249692500000001</v>
      </c>
      <c r="D45" s="4">
        <v>0.24933516999999999</v>
      </c>
      <c r="E45" s="4">
        <v>0.392502517</v>
      </c>
      <c r="F45" s="4">
        <v>0.49984589200000001</v>
      </c>
    </row>
    <row r="46" spans="1:6" x14ac:dyDescent="0.25">
      <c r="B46" t="s">
        <v>40</v>
      </c>
      <c r="C46" s="4">
        <v>0.11856488900000001</v>
      </c>
      <c r="D46" s="4">
        <v>0.24464166200000001</v>
      </c>
      <c r="E46" s="4">
        <v>0.38461804399999999</v>
      </c>
      <c r="F46" s="4">
        <v>0.49401018000000002</v>
      </c>
    </row>
    <row r="47" spans="1:6" x14ac:dyDescent="0.25">
      <c r="B47" t="s">
        <v>41</v>
      </c>
      <c r="C47" s="4">
        <v>0.118880816</v>
      </c>
      <c r="D47" s="4">
        <v>0.24515986400000001</v>
      </c>
      <c r="E47" s="4">
        <v>0.385174036</v>
      </c>
      <c r="F47" s="4">
        <v>0.49429669999999998</v>
      </c>
    </row>
    <row r="48" spans="1:6" x14ac:dyDescent="0.25">
      <c r="B48" t="s">
        <v>42</v>
      </c>
      <c r="C48" s="4">
        <v>0.117890157</v>
      </c>
      <c r="D48" s="4">
        <v>0.24370102599999999</v>
      </c>
      <c r="E48" s="4">
        <v>0.38348826800000002</v>
      </c>
      <c r="F48" s="4">
        <v>0.49646601099999998</v>
      </c>
    </row>
    <row r="49" spans="1:6" x14ac:dyDescent="0.25">
      <c r="A49" t="s">
        <v>48</v>
      </c>
      <c r="B49" s="8" t="s">
        <v>52</v>
      </c>
      <c r="C49" s="8"/>
      <c r="D49" s="8"/>
      <c r="E49" s="8"/>
      <c r="F49" s="8"/>
    </row>
    <row r="51" spans="1:6" x14ac:dyDescent="0.25">
      <c r="B51" t="s">
        <v>33</v>
      </c>
      <c r="C51">
        <v>0.27189540863037098</v>
      </c>
      <c r="D51">
        <v>0.43919071555137601</v>
      </c>
      <c r="E51">
        <v>0.48094341158866799</v>
      </c>
      <c r="F51">
        <v>0.56641906499862604</v>
      </c>
    </row>
    <row r="52" spans="1:6" x14ac:dyDescent="0.25">
      <c r="B52" t="s">
        <v>34</v>
      </c>
      <c r="C52">
        <v>0.233973428606987</v>
      </c>
      <c r="D52">
        <v>0.37077978253364502</v>
      </c>
      <c r="E52">
        <v>0.464430391788482</v>
      </c>
      <c r="F52">
        <v>0.54914277791976895</v>
      </c>
    </row>
    <row r="53" spans="1:6" x14ac:dyDescent="0.25">
      <c r="B53" t="s">
        <v>35</v>
      </c>
      <c r="C53">
        <v>0.217545881867408</v>
      </c>
      <c r="D53">
        <v>0.354264616966247</v>
      </c>
      <c r="E53">
        <v>0.458781778812408</v>
      </c>
      <c r="F53">
        <v>0.54084753990173295</v>
      </c>
    </row>
    <row r="54" spans="1:6" x14ac:dyDescent="0.25">
      <c r="B54" t="s">
        <v>36</v>
      </c>
      <c r="C54">
        <v>0.18054699897766099</v>
      </c>
      <c r="D54">
        <v>0.33141142129897999</v>
      </c>
      <c r="E54">
        <v>0.437376469373703</v>
      </c>
      <c r="F54">
        <v>0.52798992395401001</v>
      </c>
    </row>
    <row r="55" spans="1:6" x14ac:dyDescent="0.25">
      <c r="B55" t="s">
        <v>37</v>
      </c>
      <c r="C55">
        <v>0.162834748625755</v>
      </c>
      <c r="D55">
        <v>0.305032819509506</v>
      </c>
      <c r="E55">
        <v>0.42472693324089</v>
      </c>
      <c r="F55">
        <v>0.52187353372573797</v>
      </c>
    </row>
    <row r="56" spans="1:6" x14ac:dyDescent="0.25">
      <c r="B56" t="s">
        <v>38</v>
      </c>
      <c r="C56">
        <v>0.13878118991851801</v>
      </c>
      <c r="D56">
        <v>0.29045462608337402</v>
      </c>
      <c r="E56">
        <v>0.41116636991500799</v>
      </c>
      <c r="F56">
        <v>0.51401382684707597</v>
      </c>
    </row>
    <row r="57" spans="1:6" x14ac:dyDescent="0.25">
      <c r="B57" t="s">
        <v>39</v>
      </c>
      <c r="C57">
        <v>0.122496925294399</v>
      </c>
      <c r="D57">
        <v>0.27843284606933499</v>
      </c>
      <c r="E57">
        <v>0.401002287864685</v>
      </c>
      <c r="F57">
        <v>0.51514327526092496</v>
      </c>
    </row>
    <row r="58" spans="1:6" x14ac:dyDescent="0.25">
      <c r="B58" t="s">
        <v>40</v>
      </c>
      <c r="C58">
        <v>0.118564888834953</v>
      </c>
      <c r="D58">
        <v>0.26963445544242798</v>
      </c>
      <c r="E58">
        <v>0.39489075541496199</v>
      </c>
      <c r="F58">
        <v>0.51297152042388905</v>
      </c>
    </row>
    <row r="59" spans="1:6" x14ac:dyDescent="0.25">
      <c r="B59" t="s">
        <v>41</v>
      </c>
      <c r="C59">
        <v>0.118880815804004</v>
      </c>
      <c r="D59">
        <v>0.26806968450546198</v>
      </c>
      <c r="E59">
        <v>0.39612081646919201</v>
      </c>
      <c r="F59">
        <v>0.51335310935974099</v>
      </c>
    </row>
    <row r="60" spans="1:6" x14ac:dyDescent="0.25">
      <c r="B60" t="s">
        <v>42</v>
      </c>
      <c r="C60">
        <v>0.117890156805515</v>
      </c>
      <c r="D60">
        <v>0.28246501088142301</v>
      </c>
      <c r="E60">
        <v>0.393248051404953</v>
      </c>
      <c r="F60">
        <v>0.51391404867172197</v>
      </c>
    </row>
    <row r="61" spans="1:6" x14ac:dyDescent="0.25">
      <c r="B61" s="8" t="s">
        <v>53</v>
      </c>
      <c r="C61" s="8"/>
      <c r="D61" s="8"/>
      <c r="E61" s="8"/>
      <c r="F61" s="8"/>
    </row>
    <row r="63" spans="1:6" x14ac:dyDescent="0.25">
      <c r="B63" t="s">
        <v>33</v>
      </c>
      <c r="C63" s="4">
        <v>0.27189540863037098</v>
      </c>
      <c r="D63" s="4">
        <v>0.36382037401199302</v>
      </c>
      <c r="E63" s="4">
        <v>0.494205951690673</v>
      </c>
      <c r="F63" s="4">
        <v>0.55866557359695401</v>
      </c>
    </row>
    <row r="64" spans="1:6" x14ac:dyDescent="0.25">
      <c r="B64" t="s">
        <v>34</v>
      </c>
      <c r="C64" s="4">
        <v>0.233973428606987</v>
      </c>
      <c r="D64" s="4">
        <v>0.33200874924659701</v>
      </c>
      <c r="E64" s="4">
        <v>0.474079400300979</v>
      </c>
      <c r="F64" s="4">
        <v>0.54391020536422696</v>
      </c>
    </row>
    <row r="65" spans="2:6" x14ac:dyDescent="0.25">
      <c r="B65" t="s">
        <v>35</v>
      </c>
      <c r="C65" s="4">
        <v>0.217545881867408</v>
      </c>
      <c r="D65" s="4">
        <v>0.318383008241653</v>
      </c>
      <c r="E65" s="4">
        <v>0.467355877161026</v>
      </c>
      <c r="F65" s="4">
        <v>0.53917318582534701</v>
      </c>
    </row>
    <row r="66" spans="2:6" x14ac:dyDescent="0.25">
      <c r="B66" t="s">
        <v>36</v>
      </c>
      <c r="C66" s="4">
        <v>0.18054699897766099</v>
      </c>
      <c r="D66" s="4">
        <v>0.29057478904724099</v>
      </c>
      <c r="E66" s="4">
        <v>0.44592031836509699</v>
      </c>
      <c r="F66" s="4">
        <v>0.53005999326705899</v>
      </c>
    </row>
    <row r="67" spans="2:6" x14ac:dyDescent="0.25">
      <c r="B67" t="s">
        <v>37</v>
      </c>
      <c r="C67" s="4">
        <v>0.162834748625755</v>
      </c>
      <c r="D67" s="4">
        <v>0.27828323841094899</v>
      </c>
      <c r="E67" s="4">
        <v>0.43857946991920399</v>
      </c>
      <c r="F67" s="4">
        <v>0.52790868282318104</v>
      </c>
    </row>
    <row r="68" spans="2:6" x14ac:dyDescent="0.25">
      <c r="B68" t="s">
        <v>38</v>
      </c>
      <c r="C68" s="4">
        <v>0.13878118991851801</v>
      </c>
      <c r="D68" s="4">
        <v>0.25960284471511802</v>
      </c>
      <c r="E68" s="4">
        <v>0.42409878969192499</v>
      </c>
      <c r="F68" s="4">
        <v>0.51678901910781805</v>
      </c>
    </row>
    <row r="69" spans="2:6" x14ac:dyDescent="0.25">
      <c r="B69" t="s">
        <v>39</v>
      </c>
      <c r="C69" s="4">
        <v>0.122496925294399</v>
      </c>
      <c r="D69" s="4">
        <v>0.247472614049911</v>
      </c>
      <c r="E69" s="4">
        <v>0.41256707906723</v>
      </c>
      <c r="F69" s="4">
        <v>0.51719731092453003</v>
      </c>
    </row>
    <row r="70" spans="2:6" x14ac:dyDescent="0.25">
      <c r="B70" t="s">
        <v>40</v>
      </c>
      <c r="C70" s="4">
        <v>0.118564888834953</v>
      </c>
      <c r="D70" s="4">
        <v>0.24156846106052399</v>
      </c>
      <c r="E70" s="4">
        <v>0.40130293369293202</v>
      </c>
      <c r="F70" s="4">
        <v>0.51193130016326904</v>
      </c>
    </row>
    <row r="71" spans="2:6" x14ac:dyDescent="0.25">
      <c r="B71" t="s">
        <v>41</v>
      </c>
      <c r="C71" s="4">
        <v>0.118880815804004</v>
      </c>
      <c r="D71" s="4">
        <v>0.24171119928359899</v>
      </c>
      <c r="E71" s="4">
        <v>0.40162569284438998</v>
      </c>
      <c r="F71" s="4">
        <v>0.512864649295806</v>
      </c>
    </row>
    <row r="72" spans="2:6" x14ac:dyDescent="0.25">
      <c r="B72" t="s">
        <v>42</v>
      </c>
      <c r="C72" s="4">
        <v>0.117890156805515</v>
      </c>
      <c r="D72" s="4">
        <v>0.23946288228034901</v>
      </c>
      <c r="E72" s="4">
        <v>0.399296194314956</v>
      </c>
      <c r="F72" s="4">
        <v>0.51525521278381303</v>
      </c>
    </row>
  </sheetData>
  <mergeCells count="8">
    <mergeCell ref="B49:F49"/>
    <mergeCell ref="B61:F61"/>
    <mergeCell ref="B1:F1"/>
    <mergeCell ref="H1:L1"/>
    <mergeCell ref="B13:F13"/>
    <mergeCell ref="H13:L13"/>
    <mergeCell ref="B25:F25"/>
    <mergeCell ref="B37:F37"/>
  </mergeCells>
  <conditionalFormatting sqref="C3:F12">
    <cfRule type="colorScale" priority="13">
      <colorScale>
        <cfvo type="min"/>
        <cfvo type="max"/>
        <color rgb="FFFCFCFF"/>
        <color rgb="FFF8696B"/>
      </colorScale>
    </cfRule>
  </conditionalFormatting>
  <conditionalFormatting sqref="C15:F24">
    <cfRule type="colorScale" priority="10">
      <colorScale>
        <cfvo type="min"/>
        <cfvo type="max"/>
        <color rgb="FFFCFCFF"/>
        <color rgb="FFF8696B"/>
      </colorScale>
    </cfRule>
  </conditionalFormatting>
  <conditionalFormatting sqref="C27:F36">
    <cfRule type="colorScale" priority="11">
      <colorScale>
        <cfvo type="min"/>
        <cfvo type="max"/>
        <color rgb="FFFCFCFF"/>
        <color rgb="FFF8696B"/>
      </colorScale>
    </cfRule>
  </conditionalFormatting>
  <conditionalFormatting sqref="C39:F48">
    <cfRule type="colorScale" priority="7">
      <colorScale>
        <cfvo type="min"/>
        <cfvo type="max"/>
        <color rgb="FFFCFCFF"/>
        <color rgb="FFF8696B"/>
      </colorScale>
    </cfRule>
  </conditionalFormatting>
  <conditionalFormatting sqref="C51:F60">
    <cfRule type="colorScale" priority="6">
      <colorScale>
        <cfvo type="min"/>
        <cfvo type="max"/>
        <color rgb="FFFCFCFF"/>
        <color rgb="FFF8696B"/>
      </colorScale>
    </cfRule>
  </conditionalFormatting>
  <conditionalFormatting sqref="C63:F72">
    <cfRule type="colorScale" priority="4">
      <colorScale>
        <cfvo type="min"/>
        <cfvo type="max"/>
        <color rgb="FFFCFCFF"/>
        <color rgb="FFF8696B"/>
      </colorScale>
    </cfRule>
  </conditionalFormatting>
  <conditionalFormatting sqref="I3:L12">
    <cfRule type="colorScale" priority="12">
      <colorScale>
        <cfvo type="min"/>
        <cfvo type="max"/>
        <color rgb="FFFCFCFF"/>
        <color rgb="FFF8696B"/>
      </colorScale>
    </cfRule>
  </conditionalFormatting>
  <conditionalFormatting sqref="I15:L24">
    <cfRule type="colorScale" priority="1">
      <colorScale>
        <cfvo type="min"/>
        <cfvo type="max"/>
        <color rgb="FF63BE7B"/>
        <color rgb="FFFCFCFF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FB3B1-0EE2-4D54-B534-CC81DC1283D2}">
  <dimension ref="A1:B6"/>
  <sheetViews>
    <sheetView tabSelected="1" zoomScale="240" workbookViewId="0">
      <selection activeCell="B6" sqref="B6"/>
    </sheetView>
  </sheetViews>
  <sheetFormatPr defaultRowHeight="15" x14ac:dyDescent="0.25"/>
  <cols>
    <col min="1" max="1" width="15" bestFit="1" customWidth="1"/>
  </cols>
  <sheetData>
    <row r="1" spans="1:2" x14ac:dyDescent="0.25">
      <c r="A1" t="s">
        <v>55</v>
      </c>
    </row>
    <row r="2" spans="1:2" x14ac:dyDescent="0.25">
      <c r="A2" t="s">
        <v>58</v>
      </c>
    </row>
    <row r="3" spans="1:2" x14ac:dyDescent="0.25">
      <c r="A3" t="s">
        <v>57</v>
      </c>
    </row>
    <row r="4" spans="1:2" x14ac:dyDescent="0.25">
      <c r="B4" t="s">
        <v>56</v>
      </c>
    </row>
    <row r="5" spans="1:2" x14ac:dyDescent="0.25">
      <c r="A5" t="s">
        <v>59</v>
      </c>
    </row>
    <row r="6" spans="1:2" x14ac:dyDescent="0.25">
      <c r="A6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experiment</vt:lpstr>
      <vt:lpstr>NWT</vt:lpstr>
      <vt:lpstr>NWT_LSTM_factor</vt:lpstr>
      <vt:lpstr>EXP_TiDE_fctr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Rudy Alkarem</dc:creator>
  <cp:lastModifiedBy>Rudy Alkarem</cp:lastModifiedBy>
  <dcterms:created xsi:type="dcterms:W3CDTF">2025-05-26T12:12:51Z</dcterms:created>
  <dcterms:modified xsi:type="dcterms:W3CDTF">2025-06-02T21:41:32Z</dcterms:modified>
</cp:coreProperties>
</file>